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45" windowWidth="27495" windowHeight="12720"/>
  </bookViews>
  <sheets>
    <sheet name="Quote-R0" sheetId="5" r:id="rId1"/>
    <sheet name="Details-R0" sheetId="13" r:id="rId2"/>
  </sheets>
  <calcPr calcId="144525"/>
  <extLst>
    <ext uri="GoogleSheetsCustomDataVersion2">
      <go:sheetsCustomData xmlns:go="http://customooxmlschemas.google.com/" r:id="rId17" roundtripDataChecksum="fg6G/1yXuBGmLOVYSjmSbUIke813Uxl9y0RFDlcYQIA="/>
    </ext>
  </extLst>
</workbook>
</file>

<file path=xl/calcChain.xml><?xml version="1.0" encoding="utf-8"?>
<calcChain xmlns="http://schemas.openxmlformats.org/spreadsheetml/2006/main">
  <c r="G464" i="13" l="1"/>
  <c r="G466" i="13" s="1"/>
  <c r="G462" i="13"/>
  <c r="G460" i="13"/>
  <c r="G456" i="13"/>
  <c r="G458" i="13" s="1"/>
  <c r="G454" i="13"/>
  <c r="G452" i="13"/>
  <c r="G448" i="13"/>
  <c r="G450" i="13" s="1"/>
  <c r="G446" i="13"/>
  <c r="G444" i="13"/>
  <c r="G440" i="13"/>
  <c r="G442" i="13" s="1"/>
  <c r="G438" i="13"/>
  <c r="G436" i="13"/>
  <c r="G432" i="13"/>
  <c r="G434" i="13" s="1"/>
  <c r="G430" i="13"/>
  <c r="G428" i="13"/>
  <c r="G424" i="13"/>
  <c r="G426" i="13" s="1"/>
  <c r="G422" i="13"/>
  <c r="G420" i="13"/>
  <c r="G419" i="13"/>
  <c r="G418" i="13"/>
  <c r="G416" i="13"/>
  <c r="G414" i="13"/>
  <c r="G410" i="13"/>
  <c r="G409" i="13"/>
  <c r="E409" i="13"/>
  <c r="G403" i="13"/>
  <c r="G402" i="13"/>
  <c r="G398" i="13"/>
  <c r="G397" i="13"/>
  <c r="G396" i="13"/>
  <c r="G400" i="13" s="1"/>
  <c r="G392" i="13"/>
  <c r="G394" i="13" s="1"/>
  <c r="G387" i="13"/>
  <c r="G389" i="13" s="1"/>
  <c r="G386" i="13"/>
  <c r="G382" i="13"/>
  <c r="G381" i="13"/>
  <c r="G380" i="13"/>
  <c r="G379" i="13"/>
  <c r="G378" i="13"/>
  <c r="G377" i="13"/>
  <c r="G376" i="13"/>
  <c r="G375" i="13"/>
  <c r="G374" i="13"/>
  <c r="G373" i="13"/>
  <c r="G367" i="13"/>
  <c r="G369" i="13" s="1"/>
  <c r="G363" i="13"/>
  <c r="G365" i="13" s="1"/>
  <c r="G362" i="13"/>
  <c r="G358" i="13"/>
  <c r="G360" i="13" s="1"/>
  <c r="G356" i="13"/>
  <c r="G354" i="13"/>
  <c r="G353" i="13"/>
  <c r="G352" i="13"/>
  <c r="G350" i="13"/>
  <c r="G348" i="13"/>
  <c r="G347" i="13"/>
  <c r="G343" i="13"/>
  <c r="G345" i="13" s="1"/>
  <c r="G339" i="13"/>
  <c r="G338" i="13"/>
  <c r="G341" i="13" s="1"/>
  <c r="G336" i="13"/>
  <c r="G334" i="13"/>
  <c r="G330" i="13"/>
  <c r="G329" i="13"/>
  <c r="G325" i="13"/>
  <c r="G327" i="13" s="1"/>
  <c r="G316" i="13"/>
  <c r="G315" i="13"/>
  <c r="G314" i="13"/>
  <c r="G313" i="13"/>
  <c r="G312" i="13"/>
  <c r="G311" i="13"/>
  <c r="G310" i="13"/>
  <c r="G309" i="13"/>
  <c r="G308" i="13"/>
  <c r="G307" i="13"/>
  <c r="G306" i="13"/>
  <c r="G305" i="13"/>
  <c r="G304" i="13"/>
  <c r="G303" i="13"/>
  <c r="G302" i="13"/>
  <c r="G301" i="13"/>
  <c r="G300" i="13"/>
  <c r="G299" i="13"/>
  <c r="G298" i="13"/>
  <c r="G297" i="13"/>
  <c r="G296" i="13"/>
  <c r="G291" i="13"/>
  <c r="G290" i="13"/>
  <c r="G289" i="13"/>
  <c r="G288" i="13"/>
  <c r="G287" i="13"/>
  <c r="G286" i="13"/>
  <c r="G285" i="13"/>
  <c r="G284" i="13"/>
  <c r="G283" i="13"/>
  <c r="G282" i="13"/>
  <c r="G281" i="13"/>
  <c r="G280" i="13"/>
  <c r="G279" i="13"/>
  <c r="G278" i="13"/>
  <c r="G277" i="13"/>
  <c r="G276" i="13"/>
  <c r="G293" i="13" s="1"/>
  <c r="G294" i="13" s="1"/>
  <c r="G275" i="13"/>
  <c r="G269" i="13"/>
  <c r="G268" i="13"/>
  <c r="G267" i="13"/>
  <c r="G266" i="13"/>
  <c r="G265" i="13"/>
  <c r="G264" i="13"/>
  <c r="G263" i="13"/>
  <c r="G262" i="13"/>
  <c r="G261" i="13"/>
  <c r="G260" i="13"/>
  <c r="G259" i="13"/>
  <c r="G258" i="13"/>
  <c r="G257" i="13"/>
  <c r="G256" i="13"/>
  <c r="G255" i="13"/>
  <c r="G254" i="13"/>
  <c r="G253" i="13"/>
  <c r="G252" i="13"/>
  <c r="G251" i="13"/>
  <c r="G250" i="13"/>
  <c r="G249" i="13"/>
  <c r="G248" i="13"/>
  <c r="G271" i="13" s="1"/>
  <c r="G244" i="13"/>
  <c r="G243" i="13"/>
  <c r="G242" i="13"/>
  <c r="G241" i="13"/>
  <c r="G240" i="13"/>
  <c r="G239" i="13"/>
  <c r="G238" i="13"/>
  <c r="G237" i="13"/>
  <c r="G236" i="13"/>
  <c r="G235" i="13"/>
  <c r="G234" i="13"/>
  <c r="G233" i="13"/>
  <c r="G232" i="13"/>
  <c r="G231" i="13"/>
  <c r="G246" i="13" s="1"/>
  <c r="G227" i="13"/>
  <c r="G225" i="13"/>
  <c r="G224" i="13"/>
  <c r="G218" i="13"/>
  <c r="G217" i="13"/>
  <c r="G216" i="13"/>
  <c r="G215" i="13"/>
  <c r="G220" i="13" s="1"/>
  <c r="G214" i="13"/>
  <c r="G209" i="13"/>
  <c r="G208" i="13"/>
  <c r="G207" i="13"/>
  <c r="G206" i="13"/>
  <c r="G205" i="13"/>
  <c r="G204" i="13"/>
  <c r="G203" i="13"/>
  <c r="G202" i="13"/>
  <c r="G201" i="13"/>
  <c r="G200" i="13"/>
  <c r="G199" i="13"/>
  <c r="G198" i="13"/>
  <c r="G197" i="13"/>
  <c r="G196" i="13"/>
  <c r="G195" i="13"/>
  <c r="G194" i="13"/>
  <c r="G187" i="13"/>
  <c r="G186" i="13"/>
  <c r="G185" i="13"/>
  <c r="G184" i="13"/>
  <c r="G183" i="13"/>
  <c r="G182" i="13"/>
  <c r="G181" i="13"/>
  <c r="G180" i="13"/>
  <c r="G179" i="13"/>
  <c r="G178" i="13"/>
  <c r="G177" i="13"/>
  <c r="G176" i="13"/>
  <c r="G175" i="13"/>
  <c r="G174" i="13"/>
  <c r="G173" i="13"/>
  <c r="G172" i="13"/>
  <c r="G189" i="13" s="1"/>
  <c r="G190" i="13" s="1"/>
  <c r="G165" i="13"/>
  <c r="G167" i="13" s="1"/>
  <c r="G161" i="13"/>
  <c r="G163" i="13" s="1"/>
  <c r="G157" i="13"/>
  <c r="G156" i="13"/>
  <c r="G155" i="13"/>
  <c r="G154" i="13"/>
  <c r="G153" i="13"/>
  <c r="G152" i="13"/>
  <c r="G151" i="13"/>
  <c r="G147" i="13"/>
  <c r="G146" i="13"/>
  <c r="G145" i="13"/>
  <c r="G144" i="13"/>
  <c r="G143" i="13"/>
  <c r="G142" i="13"/>
  <c r="G141" i="13"/>
  <c r="G140" i="13"/>
  <c r="G139" i="13"/>
  <c r="G135" i="13"/>
  <c r="G134" i="13"/>
  <c r="G133" i="13"/>
  <c r="G132" i="13"/>
  <c r="G131" i="13"/>
  <c r="G130" i="13"/>
  <c r="G129" i="13"/>
  <c r="G128" i="13"/>
  <c r="G137" i="13" s="1"/>
  <c r="G127" i="13"/>
  <c r="G121" i="13"/>
  <c r="G123" i="13" s="1"/>
  <c r="G117" i="13"/>
  <c r="G119" i="13" s="1"/>
  <c r="G113" i="13"/>
  <c r="G115" i="13" s="1"/>
  <c r="G109" i="13"/>
  <c r="G111" i="13" s="1"/>
  <c r="G105" i="13"/>
  <c r="G107" i="13" s="1"/>
  <c r="G102" i="13"/>
  <c r="G100" i="13"/>
  <c r="G94" i="13"/>
  <c r="G96" i="13" s="1"/>
  <c r="G86" i="13"/>
  <c r="G85" i="13"/>
  <c r="G84" i="13"/>
  <c r="G83" i="13"/>
  <c r="G88" i="13" s="1"/>
  <c r="G82" i="13"/>
  <c r="G81" i="13"/>
  <c r="G80" i="13"/>
  <c r="G78" i="13"/>
  <c r="G76" i="13"/>
  <c r="G72" i="13"/>
  <c r="G74" i="13" s="1"/>
  <c r="G68" i="13"/>
  <c r="G70" i="13" s="1"/>
  <c r="G64" i="13"/>
  <c r="G63" i="13"/>
  <c r="G62" i="13"/>
  <c r="G61" i="13"/>
  <c r="G60" i="13"/>
  <c r="G56" i="13"/>
  <c r="G58" i="13" s="1"/>
  <c r="G52" i="13"/>
  <c r="G51" i="13"/>
  <c r="G50" i="13"/>
  <c r="G49" i="13"/>
  <c r="G48" i="13"/>
  <c r="G47" i="13"/>
  <c r="G46" i="13"/>
  <c r="G45" i="13"/>
  <c r="G44" i="13"/>
  <c r="G43" i="13"/>
  <c r="G42" i="13"/>
  <c r="G41" i="13"/>
  <c r="G54" i="13" s="1"/>
  <c r="G40" i="13"/>
  <c r="G39" i="13"/>
  <c r="G35" i="13"/>
  <c r="G37" i="13" s="1"/>
  <c r="G34" i="13"/>
  <c r="G33" i="13"/>
  <c r="G29" i="13"/>
  <c r="G28" i="13"/>
  <c r="G27" i="13"/>
  <c r="G26" i="13"/>
  <c r="G31" i="13" s="1"/>
  <c r="G22" i="13"/>
  <c r="G18" i="13"/>
  <c r="G17" i="13"/>
  <c r="G16" i="13"/>
  <c r="G15" i="13"/>
  <c r="G14" i="13"/>
  <c r="G13" i="13"/>
  <c r="G12" i="13"/>
  <c r="G11" i="13"/>
  <c r="G10" i="13"/>
  <c r="G9" i="13"/>
  <c r="G8" i="13"/>
  <c r="G7" i="13"/>
  <c r="G6" i="13"/>
  <c r="G5" i="13"/>
  <c r="G20" i="13" s="1"/>
  <c r="F109" i="5"/>
  <c r="F107" i="5"/>
  <c r="E103" i="5"/>
  <c r="D103" i="5"/>
  <c r="F101" i="5"/>
  <c r="D101" i="5"/>
  <c r="D99" i="5"/>
  <c r="F99" i="5" s="1"/>
  <c r="F97" i="5"/>
  <c r="D97" i="5"/>
  <c r="D95" i="5"/>
  <c r="F95" i="5" s="1"/>
  <c r="F93" i="5"/>
  <c r="D93" i="5"/>
  <c r="D91" i="5"/>
  <c r="F91" i="5" s="1"/>
  <c r="F89" i="5"/>
  <c r="D89" i="5"/>
  <c r="K85" i="5"/>
  <c r="I85" i="5"/>
  <c r="J85" i="5" s="1"/>
  <c r="F85" i="5"/>
  <c r="F84" i="5"/>
  <c r="D84" i="5"/>
  <c r="F80" i="5"/>
  <c r="D80" i="5"/>
  <c r="F79" i="5"/>
  <c r="D79" i="5"/>
  <c r="F77" i="5"/>
  <c r="E77" i="5"/>
  <c r="F76" i="5"/>
  <c r="D76" i="5"/>
  <c r="E75" i="5"/>
  <c r="D73" i="5"/>
  <c r="F73" i="5" s="1"/>
  <c r="F72" i="5"/>
  <c r="D72" i="5"/>
  <c r="D71" i="5"/>
  <c r="F71" i="5" s="1"/>
  <c r="D70" i="5"/>
  <c r="F70" i="5" s="1"/>
  <c r="D69" i="5"/>
  <c r="F69" i="5" s="1"/>
  <c r="D68" i="5"/>
  <c r="F68" i="5" s="1"/>
  <c r="D67" i="5"/>
  <c r="F67" i="5" s="1"/>
  <c r="F66" i="5"/>
  <c r="D66" i="5"/>
  <c r="F64" i="5"/>
  <c r="D64" i="5"/>
  <c r="F60" i="5"/>
  <c r="D60" i="5"/>
  <c r="D59" i="5"/>
  <c r="F59" i="5" s="1"/>
  <c r="D57" i="5"/>
  <c r="F57" i="5" s="1"/>
  <c r="D54" i="5"/>
  <c r="F54" i="5" s="1"/>
  <c r="D51" i="5"/>
  <c r="F51" i="5" s="1"/>
  <c r="F47" i="5"/>
  <c r="E47" i="5"/>
  <c r="D47" i="5"/>
  <c r="H46" i="5"/>
  <c r="F46" i="5"/>
  <c r="D46" i="5"/>
  <c r="D37" i="5"/>
  <c r="F37" i="5" s="1"/>
  <c r="D35" i="5"/>
  <c r="F35" i="5" s="1"/>
  <c r="F33" i="5"/>
  <c r="D33" i="5"/>
  <c r="D31" i="5"/>
  <c r="F31" i="5" s="1"/>
  <c r="F30" i="5"/>
  <c r="D30" i="5"/>
  <c r="D28" i="5"/>
  <c r="F28" i="5" s="1"/>
  <c r="D26" i="5"/>
  <c r="F26" i="5" s="1"/>
  <c r="H22" i="5"/>
  <c r="F22" i="5"/>
  <c r="D21" i="5"/>
  <c r="F21" i="5" s="1"/>
  <c r="D20" i="5"/>
  <c r="F20" i="5" s="1"/>
  <c r="D19" i="5"/>
  <c r="F19" i="5" s="1"/>
  <c r="D18" i="5"/>
  <c r="F18" i="5" s="1"/>
  <c r="F17" i="5"/>
  <c r="D17" i="5"/>
  <c r="D16" i="5"/>
  <c r="F16" i="5" s="1"/>
  <c r="F15" i="5"/>
  <c r="D15" i="5"/>
  <c r="D14" i="5"/>
  <c r="F14" i="5" s="1"/>
  <c r="D13" i="5"/>
  <c r="F13" i="5" s="1"/>
  <c r="D12" i="5"/>
  <c r="F12" i="5" s="1"/>
  <c r="D11" i="5"/>
  <c r="F11" i="5" s="1"/>
  <c r="F41" i="5" l="1"/>
  <c r="F105" i="5"/>
  <c r="F87" i="5"/>
  <c r="F103" i="5"/>
  <c r="G321" i="13"/>
  <c r="G159" i="13"/>
  <c r="G211" i="13"/>
  <c r="G212" i="13" s="1"/>
  <c r="G318" i="13"/>
  <c r="G319" i="13" s="1"/>
  <c r="G332" i="13"/>
  <c r="G384" i="13"/>
  <c r="G412" i="13"/>
  <c r="G405" i="13"/>
  <c r="G149" i="13"/>
  <c r="D83" i="5" l="1"/>
  <c r="F83" i="5" s="1"/>
  <c r="D75" i="5"/>
  <c r="F75" i="5" s="1"/>
  <c r="D81" i="5"/>
  <c r="F81" i="5" s="1"/>
  <c r="D65" i="5"/>
  <c r="F65" i="5" s="1"/>
  <c r="D53" i="5"/>
  <c r="F53" i="5" s="1"/>
  <c r="D44" i="5"/>
  <c r="F44" i="5" s="1"/>
  <c r="D62" i="5"/>
  <c r="F62" i="5" s="1"/>
  <c r="F42" i="5"/>
  <c r="F112" i="5" s="1"/>
  <c r="F113" i="5" l="1"/>
  <c r="F114" i="5"/>
</calcChain>
</file>

<file path=xl/sharedStrings.xml><?xml version="1.0" encoding="utf-8"?>
<sst xmlns="http://schemas.openxmlformats.org/spreadsheetml/2006/main" count="786" uniqueCount="241">
  <si>
    <t xml:space="preserve"> Estimate for Renovation Works</t>
  </si>
  <si>
    <t>#320, Fifth Floor, East Avenue, fifth floor, VI Phase, Ayyappa Society, 
Madhapur, Hyderabad, Telangana - 500081, Phone 040-40047888.</t>
  </si>
  <si>
    <t>Q.No: C2604-110</t>
  </si>
  <si>
    <t>S.No</t>
  </si>
  <si>
    <t>Description</t>
  </si>
  <si>
    <t>Units</t>
  </si>
  <si>
    <t>No's</t>
  </si>
  <si>
    <t>L</t>
  </si>
  <si>
    <t>W</t>
  </si>
  <si>
    <t>Qty</t>
  </si>
  <si>
    <t>Dismantling</t>
  </si>
  <si>
    <t>Full Office</t>
  </si>
  <si>
    <t>Sqfts</t>
  </si>
  <si>
    <t>Dismantling Work</t>
  </si>
  <si>
    <t xml:space="preserve"> TOTAL</t>
  </si>
  <si>
    <t>Civil Work</t>
  </si>
  <si>
    <t>ITEMS/ DESCRIPTION/ FINISHES</t>
  </si>
  <si>
    <t>UNIT</t>
  </si>
  <si>
    <t>QUANTITY</t>
  </si>
  <si>
    <t>Civil Works</t>
  </si>
  <si>
    <t>RATE</t>
  </si>
  <si>
    <t>AMOUNT</t>
  </si>
  <si>
    <t>Granite Work</t>
  </si>
  <si>
    <t>Pantry</t>
  </si>
  <si>
    <t>Modular Glass Works</t>
  </si>
  <si>
    <t>Interior Works</t>
  </si>
  <si>
    <t>Plumbing Works</t>
  </si>
  <si>
    <t>LS</t>
  </si>
  <si>
    <t>Sanitary Fixtures</t>
  </si>
  <si>
    <t>SS Sink</t>
  </si>
  <si>
    <t>Sq.fts</t>
  </si>
  <si>
    <t>Sink Cock</t>
  </si>
  <si>
    <t>Modular Glass Work</t>
  </si>
  <si>
    <t xml:space="preserve">Sanitary Fixtures </t>
  </si>
  <si>
    <t>Glass Partition</t>
  </si>
  <si>
    <t>Reception Arae</t>
  </si>
  <si>
    <t>11 Pax Conference Room-1</t>
  </si>
  <si>
    <t>Manager Cabin</t>
  </si>
  <si>
    <t>11 Pax Conference Room-2</t>
  </si>
  <si>
    <t>8 Pax Conference Room</t>
  </si>
  <si>
    <t>6 Pax Conference Room-1</t>
  </si>
  <si>
    <t>4 Pax Conference Room</t>
  </si>
  <si>
    <t>6 Pax Conference Room-2</t>
  </si>
  <si>
    <t>1500-1800</t>
  </si>
  <si>
    <t>Glass Film</t>
  </si>
  <si>
    <t xml:space="preserve"> Sub Total</t>
  </si>
  <si>
    <t>Glass Work</t>
  </si>
  <si>
    <t>Glass Door-Single Leaf</t>
  </si>
  <si>
    <t xml:space="preserve"> Handling/Services charges 8%</t>
  </si>
  <si>
    <t>Linear Work Station</t>
  </si>
  <si>
    <t>ITEMS NOT QUOTED</t>
  </si>
  <si>
    <t>Main Door</t>
  </si>
  <si>
    <t>Indoor Plants</t>
  </si>
  <si>
    <t>Graphics</t>
  </si>
  <si>
    <t xml:space="preserve">Opening Size : W 900mm X H 2100mm Nos. Per Door </t>
  </si>
  <si>
    <t>Glass Door-Double Leaf-1800x2100mm</t>
  </si>
  <si>
    <t>Reception Area</t>
  </si>
  <si>
    <t>TERMS AND CONDITIONS</t>
  </si>
  <si>
    <t>This Quotation is tentative, consider upto 10% variation in the final quote based on  final design.</t>
  </si>
  <si>
    <t>False Ceiling</t>
  </si>
  <si>
    <t>GST 18% EXTRA</t>
  </si>
  <si>
    <t>Gypsum Ceiling</t>
  </si>
  <si>
    <t>Estimated 120 working days after project commencement provided all approvals and materials reach site on time.</t>
  </si>
  <si>
    <t xml:space="preserve">Opening Size : W 1800mm X H 2100mm Nos. Per Door </t>
  </si>
  <si>
    <t xml:space="preserve">Additional material apart from the above requirment shall be charged as per actuals.
</t>
  </si>
  <si>
    <t xml:space="preserve">This Quote excludes Any item which is not specified in BOQ 
</t>
  </si>
  <si>
    <t>Warranty : Upto 5 years on modular furniture</t>
  </si>
  <si>
    <t>Training Room</t>
  </si>
  <si>
    <t>No Refund shall be entertained at any stage of the project</t>
  </si>
  <si>
    <t>Sq.fts/Rfts</t>
  </si>
  <si>
    <t>This quote is valid up to 15days from date of issue</t>
  </si>
  <si>
    <t>Internal Partitions</t>
  </si>
  <si>
    <t>Termite treatment – Client scope</t>
  </si>
  <si>
    <t xml:space="preserve">PAYMENT  TERMS </t>
  </si>
  <si>
    <t>50% advance along with confirmation of work order.</t>
  </si>
  <si>
    <t>40% Amount to be paid as per Running bills within 7 Days.</t>
  </si>
  <si>
    <t>Doors</t>
  </si>
  <si>
    <t>10% of amount to be paid within one month of handover.</t>
  </si>
  <si>
    <t>Gypsum Partition</t>
  </si>
  <si>
    <t>Lounge</t>
  </si>
  <si>
    <t xml:space="preserve">Flooring </t>
  </si>
  <si>
    <t>Linear work Station</t>
  </si>
  <si>
    <t>Rfts</t>
  </si>
  <si>
    <t>Flush Door - 900x2100mm</t>
  </si>
  <si>
    <t>Painting</t>
  </si>
  <si>
    <t>Modular Furniture</t>
  </si>
  <si>
    <t>Carpet</t>
  </si>
  <si>
    <t>Skirting</t>
  </si>
  <si>
    <t>Rft</t>
  </si>
  <si>
    <t>Linear Work station</t>
  </si>
  <si>
    <t>Loose Furniture</t>
  </si>
  <si>
    <t>Wall Paneling</t>
  </si>
  <si>
    <t>Paint</t>
  </si>
  <si>
    <t>LOGO</t>
  </si>
  <si>
    <t xml:space="preserve">Wall Paper </t>
  </si>
  <si>
    <t>Laquered Glass</t>
  </si>
  <si>
    <t xml:space="preserve">Electrical Works- Main wiring </t>
  </si>
  <si>
    <t>Providing, supplying, and fixing of electrical wiring for the complete office space, including cost of wires, switches, sockets, and all accessories. Complete for finished item of work as per standards and specifications designed by the electrical engineer, including all materials and labour charges. (Price may vary as per site conditions and scope of work.)</t>
  </si>
  <si>
    <t>Deep Cleaning Work</t>
  </si>
  <si>
    <t>HouseKeeping Work</t>
  </si>
  <si>
    <t>Floor Protection</t>
  </si>
  <si>
    <t>Providing and laying floor protection using foam sheet/board to avoid damage during site work.</t>
  </si>
  <si>
    <t xml:space="preserve"> TOTAL PAINT QUANTITY</t>
  </si>
  <si>
    <r>
      <rPr>
        <b/>
        <sz val="17"/>
        <color theme="1"/>
        <rFont val="Calibri"/>
      </rPr>
      <t>Client  Address:</t>
    </r>
    <r>
      <rPr>
        <b/>
        <sz val="14"/>
        <color theme="1"/>
        <rFont val="Calibri"/>
      </rPr>
      <t xml:space="preserve">
Tower-A, Ascendas IT Park, Vega, Floor 12, , The V, Plot no 17, Inorbit Mall Rd, Madhapur, Telangana 500081</t>
    </r>
  </si>
  <si>
    <r>
      <rPr>
        <b/>
        <sz val="18"/>
        <color theme="1"/>
        <rFont val="Calibri"/>
      </rPr>
      <t>Client:</t>
    </r>
    <r>
      <rPr>
        <b/>
        <sz val="16"/>
        <color theme="1"/>
        <rFont val="Calibri"/>
      </rPr>
      <t xml:space="preserve">
</t>
    </r>
  </si>
  <si>
    <t>Reception Table</t>
  </si>
  <si>
    <t>Conference Table-11 Pax</t>
  </si>
  <si>
    <t>Date: 30-04-2026</t>
  </si>
  <si>
    <r>
      <rPr>
        <b/>
        <u/>
        <sz val="12"/>
        <color theme="1"/>
        <rFont val="Calibri"/>
      </rPr>
      <t>S.NO</t>
    </r>
    <r>
      <rPr>
        <b/>
        <u/>
        <sz val="12"/>
        <color theme="1"/>
        <rFont val="Calibri"/>
      </rPr>
      <t>.</t>
    </r>
  </si>
  <si>
    <t>Conference Table-8 Pax</t>
  </si>
  <si>
    <t>material</t>
  </si>
  <si>
    <t>Service</t>
  </si>
  <si>
    <t>Conference Table-6 Pax</t>
  </si>
  <si>
    <t>electrical</t>
  </si>
  <si>
    <t>service</t>
  </si>
  <si>
    <t>mAterial</t>
  </si>
  <si>
    <t>interior</t>
  </si>
  <si>
    <r>
      <rPr>
        <b/>
        <sz val="12"/>
        <color theme="1"/>
        <rFont val="Calibri"/>
      </rPr>
      <t xml:space="preserve">Partitions: 
</t>
    </r>
    <r>
      <rPr>
        <sz val="12"/>
        <color theme="1"/>
        <rFont val="Calibri"/>
      </rPr>
      <t>Dismantling of existing Gypsum/Glass/Wooden partitions wherever required and stacking debris within 10 meters from the work area. Providing and fixing skirting as per site requirement.</t>
    </r>
  </si>
  <si>
    <t>Discussion Room</t>
  </si>
  <si>
    <t>Worrk station-Sharing</t>
  </si>
  <si>
    <r>
      <rPr>
        <b/>
        <sz val="12"/>
        <color theme="1"/>
        <rFont val="Calibri"/>
      </rPr>
      <t>Brick Wall:</t>
    </r>
    <r>
      <rPr>
        <sz val="12"/>
        <color theme="1"/>
        <rFont val="Calibri"/>
      </rPr>
      <t xml:space="preserve"> 
Dismantling of existing brick wall and lintels where ever necessary and stacking the debris with a lead of 10mts away from the dismantled area and Repairs of the areas.</t>
    </r>
  </si>
  <si>
    <t>New Work Station Arae</t>
  </si>
  <si>
    <r>
      <rPr>
        <b/>
        <sz val="12"/>
        <color theme="1"/>
        <rFont val="Calibri"/>
      </rPr>
      <t xml:space="preserve">Column Cladding: 
</t>
    </r>
    <r>
      <rPr>
        <sz val="12"/>
        <color theme="1"/>
        <rFont val="Calibri"/>
      </rPr>
      <t>Dismantling of existing column cladding wherever required, including stacking of debris within 10 meters from the dismantled area and making good the damaged areas after completion of work.</t>
    </r>
  </si>
  <si>
    <t>Worrk station- Non Sharing</t>
  </si>
  <si>
    <r>
      <rPr>
        <b/>
        <sz val="12"/>
        <color theme="1"/>
        <rFont val="Calibri"/>
      </rPr>
      <t xml:space="preserve">Wall Paneling: 
</t>
    </r>
    <r>
      <rPr>
        <sz val="12"/>
        <color theme="1"/>
        <rFont val="Calibri"/>
      </rPr>
      <t>Dismantling of existing wall laminate and paneling wherever required, including stacking of debris within 10 meters from the dismantled area and making good the damaged areas after completion of work.</t>
    </r>
  </si>
  <si>
    <r>
      <rPr>
        <b/>
        <sz val="12"/>
        <color theme="1"/>
        <rFont val="Calibri"/>
      </rPr>
      <t xml:space="preserve">False ceiling: 
</t>
    </r>
    <r>
      <rPr>
        <sz val="12"/>
        <color theme="1"/>
        <rFont val="Calibri"/>
      </rPr>
      <t>Dismantling of existing Gypsum/PVC/Grid false ceiling wherever required, including stacking of debris within 10 meters from the dismantled area and making good the damaged areas after completion of work.</t>
    </r>
  </si>
  <si>
    <r>
      <rPr>
        <b/>
        <sz val="12"/>
        <color theme="1"/>
        <rFont val="Calibri"/>
      </rPr>
      <t xml:space="preserve">Furniture: 
</t>
    </r>
    <r>
      <rPr>
        <sz val="12"/>
        <color theme="1"/>
        <rFont val="Calibri"/>
      </rPr>
      <t>Removing of existing furniture, partitions, wiring, switch boards, etc., and stacking the materials at ground floor as per site requirement.</t>
    </r>
  </si>
  <si>
    <r>
      <rPr>
        <b/>
        <sz val="12"/>
        <color theme="1"/>
        <rFont val="Calibri"/>
      </rPr>
      <t xml:space="preserve">Carpet: 
</t>
    </r>
    <r>
      <rPr>
        <sz val="12"/>
        <color theme="1"/>
        <rFont val="Calibri"/>
      </rPr>
      <t>Removing of existing carpet flooring including adhesive residue wherever required, and stacking of debris within 10 meters from the work area as per site instructions.</t>
    </r>
  </si>
  <si>
    <r>
      <rPr>
        <b/>
        <sz val="12"/>
        <color theme="1"/>
        <rFont val="Calibri"/>
      </rPr>
      <t xml:space="preserve">Lights: 
</t>
    </r>
    <r>
      <rPr>
        <sz val="12"/>
        <color theme="1"/>
        <rFont val="Calibri"/>
      </rPr>
      <t>Removing of existing light fittings wherever required and stacking the materials as per site requirement.</t>
    </r>
  </si>
  <si>
    <t>Shifting of debris/materials such as carpet, gypsum material, glass partitions, cabin tables, etc., from 13th floor to ground floor as per site requirement.</t>
  </si>
  <si>
    <t>Carting of dismantled debris from the stacked area and disposing the same approximately 10 km away from the site using tractor vehicle.</t>
  </si>
  <si>
    <t>Load</t>
  </si>
  <si>
    <t>Removing of existing doors and door frames and stacking the materials at the location instructed by the site in-charge within 100 meters from the dismantled area.</t>
  </si>
  <si>
    <t>Chairs</t>
  </si>
  <si>
    <r>
      <rPr>
        <b/>
        <sz val="12"/>
        <color theme="1"/>
        <rFont val="Calibri"/>
      </rPr>
      <t xml:space="preserve">Pedestal Removal:
</t>
    </r>
    <r>
      <rPr>
        <sz val="12"/>
        <color theme="1"/>
        <rFont val="Calibri"/>
      </rPr>
      <t>Carefully dismantling and removing the existing pedestal from the site, including shifting debris and disposing of waste materials as per site conditions.</t>
    </r>
  </si>
  <si>
    <r>
      <rPr>
        <b/>
        <sz val="12"/>
        <color theme="1"/>
        <rFont val="Calibri"/>
      </rPr>
      <t>Granite for Counter Top (Pantry Area):</t>
    </r>
    <r>
      <rPr>
        <sz val="12"/>
        <color theme="1"/>
        <rFont val="Calibri"/>
      </rPr>
      <t xml:space="preserve"> Providing and fixing granite countertop with edge polishing and moulding, fixed over plywood/WPC on MS base frame using approved adhesives. The rate includes all materials, hardware, fittings, labour, and installation, complete as per design and instructions of the Architect/Engineer.</t>
    </r>
  </si>
  <si>
    <r>
      <rPr>
        <b/>
        <sz val="12"/>
        <color theme="1"/>
        <rFont val="Calibri"/>
      </rPr>
      <t xml:space="preserve">Plumbing Works
</t>
    </r>
    <r>
      <rPr>
        <sz val="12"/>
        <color theme="1"/>
        <rFont val="Calibri"/>
      </rPr>
      <t>Providing and laying of pipeline for pantry connection from 11th floor to ground floor, including all required fittings, supports, cutting, chasing, jointing, testing and fixing complete as per site requirement.</t>
    </r>
  </si>
  <si>
    <t>Installation-1000-2000</t>
  </si>
  <si>
    <t>Logo</t>
  </si>
  <si>
    <t>SS Sink- 24"X18"X8" - AS per selection</t>
  </si>
  <si>
    <t>Wall Paper</t>
  </si>
  <si>
    <t>Sink Cock : Brand: Parryware/Cera and other accessories</t>
  </si>
  <si>
    <t>Floor Chipping</t>
  </si>
  <si>
    <r>
      <rPr>
        <b/>
        <sz val="12"/>
        <color theme="1"/>
        <rFont val="Calibri"/>
      </rPr>
      <t xml:space="preserve">Drainage Pipeline:
</t>
    </r>
    <r>
      <rPr>
        <sz val="12"/>
        <color theme="1"/>
        <rFont val="Calibri"/>
      </rPr>
      <t>Floor chipping for drain pipeline from pantry room to duct area, including debris removal. Cutting and refixing of metal door for 6" opening as per site requirement.</t>
    </r>
  </si>
  <si>
    <t>Lacquered Glass</t>
  </si>
  <si>
    <t>Flooring Work</t>
  </si>
  <si>
    <r>
      <rPr>
        <b/>
        <sz val="12"/>
        <color theme="1"/>
        <rFont val="Calibri"/>
      </rPr>
      <t>Flooring Work near the entrance:</t>
    </r>
    <r>
      <rPr>
        <sz val="12"/>
        <color theme="1"/>
        <rFont val="Calibri"/>
      </rPr>
      <t xml:space="preserve">
Floor cutting and making new flooring for mat and floor finish, including skirting work at dismantled brick wall area as per site requirement.</t>
    </r>
  </si>
  <si>
    <t>Electrical</t>
  </si>
  <si>
    <t>Trap Door</t>
  </si>
  <si>
    <t>Providing and fixing of trap door including all necessary hardware, fittings and finishing complete as per site requirement.</t>
  </si>
  <si>
    <t>Deep Cleaing</t>
  </si>
  <si>
    <t>House Keeping</t>
  </si>
  <si>
    <r>
      <rPr>
        <b/>
        <sz val="12"/>
        <color theme="1"/>
        <rFont val="Calibri"/>
      </rPr>
      <t>Glass Partition</t>
    </r>
    <r>
      <rPr>
        <sz val="12"/>
        <color theme="1"/>
        <rFont val="Calibri"/>
      </rPr>
      <t xml:space="preserve"> </t>
    </r>
    <r>
      <rPr>
        <b/>
        <sz val="12"/>
        <color theme="1"/>
        <rFont val="Calibri"/>
      </rPr>
      <t xml:space="preserve">- </t>
    </r>
    <r>
      <rPr>
        <sz val="12"/>
        <color theme="1"/>
        <rFont val="Calibri"/>
      </rPr>
      <t>Upto  2100mm height  from FFL
Supply and installation of 10 mm toughened glass partition (OTIC/Taiton/Dolysia/Ozone or equivalent) in 45 x 25 mm anodized aluminum sections. Ply support to be provided for door frames as required, as per drawings.</t>
    </r>
  </si>
  <si>
    <r>
      <rPr>
        <b/>
        <sz val="12"/>
        <color theme="1"/>
        <rFont val="Calibri"/>
      </rPr>
      <t>Frosted Glass Film:</t>
    </r>
    <r>
      <rPr>
        <sz val="12"/>
        <color theme="1"/>
        <rFont val="Calibri"/>
      </rPr>
      <t xml:space="preserve">
Supply and application of frosted glass film on glass surface, including proper surface cleaning and fixing without bubbles, complete with all materials and labour.</t>
    </r>
  </si>
  <si>
    <r>
      <rPr>
        <b/>
        <sz val="12"/>
        <color theme="1"/>
        <rFont val="Calibri"/>
      </rPr>
      <t>Glass Door : Single Leaf</t>
    </r>
    <r>
      <rPr>
        <sz val="12"/>
        <color theme="1"/>
        <rFont val="Calibri"/>
      </rPr>
      <t xml:space="preserve">
Supply and installation of single leaf aluminium stile glass door with 45mm x 45mm frame and 65mm x 35mm shutter, finished in black anodized finish. Door fitted with 10mm thick clear toughened glass and required glass hardware of OTIC/Taiton/Dolysia/Ozone or equivalent, complete as per specifications.</t>
    </r>
  </si>
  <si>
    <r>
      <rPr>
        <b/>
        <sz val="12"/>
        <color theme="1"/>
        <rFont val="Calibri"/>
      </rPr>
      <t>Glass Door : Double Leaf</t>
    </r>
    <r>
      <rPr>
        <sz val="12"/>
        <color theme="1"/>
        <rFont val="Calibri"/>
      </rPr>
      <t xml:space="preserve">
Supply and installation of single leaf aluminium stile glass door with 45mm x 45mm frame and 65mm x 35mm shutter, finished in black anodized finish. Door fitted with 10mm thick clear toughened glass and required glass hardware of OTIC/Taiton/Dolysia/Ozone or equivalent, complete as per specifications.</t>
    </r>
  </si>
  <si>
    <t xml:space="preserve">Opening Size : W 2700mm X H 2100mm Nos. Per Door </t>
  </si>
  <si>
    <r>
      <rPr>
        <b/>
        <sz val="12"/>
        <color theme="1"/>
        <rFont val="Calibri"/>
      </rPr>
      <t>Gypsum ceilng :</t>
    </r>
    <r>
      <rPr>
        <sz val="12"/>
        <color theme="1"/>
        <rFont val="Calibri"/>
      </rPr>
      <t xml:space="preserve"> 
Supply and Installation of 12.5mm thick Saint-Gobain Gypsum Board Suspended Ceiling fixed on proprietary GI steel suspension system (Ultra frames &amp; accessories) as per manufacturer’s recommendations. The work includes screws, joint taping, jointing compound/grout, vertical drops wherever required, and necessary cut-outs for light fixtures, diffusers, grills, etc., complete as per architect’s approved design and manufacturer’s specifications.</t>
    </r>
  </si>
  <si>
    <r>
      <rPr>
        <b/>
        <sz val="12"/>
        <color theme="1"/>
        <rFont val="Calibri"/>
      </rPr>
      <t>Gypsum Partition -</t>
    </r>
    <r>
      <rPr>
        <sz val="12"/>
        <color theme="1"/>
        <rFont val="Calibri"/>
      </rPr>
      <t xml:space="preserve"> 100 mm thick 2 sided double gypsum partition 
Providing and installing 100 mm thick 2 sided gypsum partition with necessary GI sections and approved Gypsum sheet on either side of the partition with rock wool infill for accoustics. 
Make: Oman(India)</t>
    </r>
  </si>
  <si>
    <r>
      <rPr>
        <b/>
        <sz val="12"/>
        <color theme="1"/>
        <rFont val="Calibri"/>
      </rPr>
      <t xml:space="preserve">Ply Panelling Work:
</t>
    </r>
    <r>
      <rPr>
        <sz val="12"/>
        <color theme="1"/>
        <rFont val="Calibri"/>
      </rPr>
      <t>Providing and fixing of 18mm plywood panelling for TV and logo support, including necessary framework, fixing and finishing complete as per site requirement.</t>
    </r>
  </si>
  <si>
    <r>
      <rPr>
        <b/>
        <sz val="12"/>
        <color theme="1"/>
        <rFont val="Calibri"/>
      </rPr>
      <t xml:space="preserve">Flush doors: 
</t>
    </r>
    <r>
      <rPr>
        <sz val="12"/>
        <color theme="1"/>
        <rFont val="Calibri"/>
      </rPr>
      <t xml:space="preserve">Supply and installation of 30mm thk.  Door Opening flushed door finished with 1mm thk. laminate  with wooden frame as per approval from both sides with or without vision panel, including wooden beadings for vision panel finished with melamine polish matching the color of laminate, required door hardware(matching the existing) and Aluminum door frames. </t>
    </r>
  </si>
  <si>
    <r>
      <rPr>
        <b/>
        <sz val="12"/>
        <color theme="1"/>
        <rFont val="Calibri"/>
      </rPr>
      <t xml:space="preserve">Carpet: 
</t>
    </r>
    <r>
      <rPr>
        <sz val="12"/>
        <color theme="1"/>
        <rFont val="Calibri"/>
      </rPr>
      <t>Supply and installation of Nylon carpet flooring of standard make and approved shade, including adhesives and laying, complete as per design and specifications.</t>
    </r>
  </si>
  <si>
    <r>
      <rPr>
        <b/>
        <sz val="12"/>
        <color theme="1"/>
        <rFont val="Calibri"/>
      </rPr>
      <t xml:space="preserve">Skirting 50mm wide : </t>
    </r>
    <r>
      <rPr>
        <sz val="12"/>
        <color theme="1"/>
        <rFont val="Calibri"/>
      </rPr>
      <t>Supply and fixing of 50 mm wide aluminum skirting in black color, matching with the flooring, complete in all respects.</t>
    </r>
  </si>
  <si>
    <r>
      <rPr>
        <b/>
        <sz val="12"/>
        <color theme="1"/>
        <rFont val="Calibri"/>
      </rPr>
      <t>Painting - Enclosed areas</t>
    </r>
    <r>
      <rPr>
        <sz val="12"/>
        <color theme="1"/>
        <rFont val="Calibri"/>
      </rPr>
      <t xml:space="preserve">
Providing and applying on the walls, ceiling premium emulison painting with required coat of paint. Paint of approved brand and shade as per the specifications of the manufacturer over two coats of putty and primer to achieve smooth and uniform surface and shade. `The rate shall inlcude cleaning and preperation of surface, sanding the surface to smoothness as per the specification or as instructed by Architect including necessary scaffolding, staging, etc,. </t>
    </r>
  </si>
  <si>
    <r>
      <rPr>
        <b/>
        <sz val="12"/>
        <color theme="1"/>
        <rFont val="Calibri"/>
      </rPr>
      <t xml:space="preserve">Reception Table:
</t>
    </r>
    <r>
      <rPr>
        <sz val="12"/>
        <color theme="1"/>
        <rFont val="Calibri"/>
      </rPr>
      <t>Providing supply and fixing of Reception table as per design made in with ply and laminate including cost of all materials labour etc., complete for finished item of work.
Size: 1500 L x 750 D x 1050 H</t>
    </r>
  </si>
  <si>
    <r>
      <rPr>
        <b/>
        <sz val="12"/>
        <color theme="1"/>
        <rFont val="Calibri"/>
      </rPr>
      <t>Conference Table: 11 Pax</t>
    </r>
    <r>
      <rPr>
        <sz val="12"/>
        <color theme="1"/>
        <rFont val="Calibri"/>
      </rPr>
      <t xml:space="preserve">
Specification Size - 4000 (L) x 1200 (D) x 750 (H) Table 
top 25 mm thick PLPB duly edge bended Support 
structure 50 x 25 x 1.2 mm rectangular pipe Leg 50 x 50 
x 1.2 mm thick tapper leg rectangular pipe duly powder 
coated. Middle leg 50 x 50 x 1.2 mm thick rectangular 
pipe with perforated sheet for cable riser duly powder 
coated Electrical: 2 Nos flapper &amp; metal trunking</t>
    </r>
  </si>
  <si>
    <r>
      <rPr>
        <b/>
        <sz val="12"/>
        <color theme="1"/>
        <rFont val="Calibri"/>
      </rPr>
      <t>Conference Table: 8 Pax</t>
    </r>
    <r>
      <rPr>
        <sz val="12"/>
        <color theme="1"/>
        <rFont val="Calibri"/>
      </rPr>
      <t xml:space="preserve">
Specification Size - 3000 (L) x 1050 (D) x 750 (H) Table 
top 25 mm thick PLPB duly edge bended Support 
structure 50 x 25 x 1.2 mm rectangular pipe Leg 50 x 50 
x 1.2 mm thick tapper leg rectangular pipe duly powder 
coated. Middle leg 50 x 50 x 1.2 mm thick rectangular 
pipe with perforated sheet for cable riser duly powder 
coated Electrical: 2 Nos flapper &amp; metal trunking</t>
    </r>
  </si>
  <si>
    <r>
      <rPr>
        <b/>
        <sz val="12"/>
        <color theme="1"/>
        <rFont val="Calibri"/>
      </rPr>
      <t>Conference Table: 6 Pax</t>
    </r>
    <r>
      <rPr>
        <sz val="12"/>
        <color theme="1"/>
        <rFont val="Calibri"/>
      </rPr>
      <t xml:space="preserve">
Specification Size - 2400 (L) x 1000 (D) x 750 (H) Table 
top 25 mm thick PLPB duly edge bended Support 
structure 50 x 25 x 1.2 mm rectangular pipe Leg 50 x 50 
x 1.2 mm thick tapper leg rectangular pipe duly powder 
coated. Middle leg 50 x 50 x 1.2 mm thick rectangular 
pipe with perforated sheet for cable riser duly powder 
coated Electrical: 1 Nos flapper &amp; metal trunking</t>
    </r>
  </si>
  <si>
    <r>
      <rPr>
        <b/>
        <sz val="12"/>
        <color theme="1"/>
        <rFont val="Calibri"/>
      </rPr>
      <t>Manager Cabin table:</t>
    </r>
    <r>
      <rPr>
        <sz val="12"/>
        <color theme="1"/>
        <rFont val="Calibri"/>
      </rPr>
      <t xml:space="preserve">
SIZE: 1450L X 600D X 750H                                   
TABLE TOP: 25mm thick PLB with edge band.                                                         
LEGS: 50X25 mm Square metal legs with power 
coating.                                                                         
WIRE MANAGEMENT: 350mm flipup.                       
Side storge: 900Wx450Dx690H. with shutter.                   </t>
    </r>
  </si>
  <si>
    <r>
      <rPr>
        <b/>
        <sz val="12"/>
        <color theme="1"/>
        <rFont val="Calibri"/>
      </rPr>
      <t>Desking Workstation - Sharing</t>
    </r>
    <r>
      <rPr>
        <sz val="12"/>
        <color theme="1"/>
        <rFont val="Calibri"/>
      </rPr>
      <t xml:space="preserve">
size : 1050(w) X 600mm(d) X 750mm(ht)
Table Top Made Up Of 25mm Thick PLPB With 2mm PVC Edge Banding MS Powder coated Oval Legs
intermidiate 50sq perform legs Wire Manager : Grommet Hole
250mm(ht) Race Way Below Table Top Vertical Wire Entry
Main Screen : 12mm thick &amp; 300mm(ht) fabric magnetic board on holders</t>
    </r>
  </si>
  <si>
    <r>
      <rPr>
        <b/>
        <sz val="12"/>
        <color theme="1"/>
        <rFont val="Calibri"/>
      </rPr>
      <t>Desking Workstation - Non-Sharing</t>
    </r>
    <r>
      <rPr>
        <sz val="12"/>
        <color theme="1"/>
        <rFont val="Calibri"/>
      </rPr>
      <t xml:space="preserve">
size : 1050(w) X 600mm(d) X 750mm(ht)
Table Top Made Up Of 25mm Thick PLPB With 2mm PVC Edge Banding MS Powder coated Oval Legs
intermidiate 50sq perform legs Wire Manager : Grommet Hole
250mm(ht) Race Way Below Table Top Vertical Wire Entry
Main Screen : 12mm thick &amp; 300mm(ht) fabric magnetic board on holders</t>
    </r>
  </si>
  <si>
    <r>
      <rPr>
        <b/>
        <sz val="12"/>
        <color theme="1"/>
        <rFont val="Calibri"/>
      </rPr>
      <t>Desking Workstation -Training Room</t>
    </r>
    <r>
      <rPr>
        <sz val="12"/>
        <color theme="1"/>
        <rFont val="Calibri"/>
      </rPr>
      <t xml:space="preserve">
size : 900(w) X 600mm(d) X 750mm(ht)
Table Top Made Up Of 25mm Thick PLPB With 2mm PVC Edge Banding MS Powder coated Oval Legs
intermidiate 50sq perform legs Wire Manager : Grommet Hole
250mm(ht) Race Way Below Table Top Vertical Wire Entry
Main Screen : 12mm thick &amp; 300mm(ht)</t>
    </r>
  </si>
  <si>
    <r>
      <rPr>
        <b/>
        <sz val="12"/>
        <color theme="1"/>
        <rFont val="Calibri"/>
      </rPr>
      <t>Round Table:</t>
    </r>
    <r>
      <rPr>
        <sz val="12"/>
        <color theme="1"/>
        <rFont val="Calibri"/>
      </rPr>
      <t xml:space="preserve">
Specification Size - 900 mm Dia x 750 mm Height Discussion table in particle board table top made of 25 mm thick PLPB .under structure made of 18mm thick PLPB</t>
    </r>
  </si>
  <si>
    <r>
      <rPr>
        <b/>
        <sz val="12"/>
        <color theme="1"/>
        <rFont val="Calibri"/>
      </rPr>
      <t>Speakers Podium:</t>
    </r>
    <r>
      <rPr>
        <sz val="12"/>
        <color theme="1"/>
        <rFont val="Calibri"/>
      </rPr>
      <t xml:space="preserve">
Providing and fixing of speaker podium including necessary framework, finishing and accessories complete as per approved design and site requirement.</t>
    </r>
  </si>
  <si>
    <r>
      <rPr>
        <b/>
        <sz val="12"/>
        <color theme="1"/>
        <rFont val="Calibri"/>
      </rPr>
      <t>Chairs:</t>
    </r>
    <r>
      <rPr>
        <sz val="12"/>
        <color theme="1"/>
        <rFont val="Calibri"/>
      </rPr>
      <t xml:space="preserve">
Supply and instllation of Low Back with Mesh Back: Provides good ventilation and support, keeping you cool and comfortable during long hours of sitting.                                                                                                                                                                                                                               
Knee Tilt (KT) Mechanism: Allows the chair to tilt from just under the knee, which helps keep your feet flat on the floor even when the chair is tilted back. This mechanism offers better support and comfort.
Fixed Armrest: Provides consistent support for your arms, reducing strain on your shoulders and neck.
Gaslift for Seat Height Adjustment: Enables easy adjustment of the seat height to match your desk height and personal comfort.
Standard 5-prong Nylon Base: Offers stability and durability, ensuring the chair remains steady and secure.                                                                     
Additionally, this chair comes with a 10-year warranty, excluding the mesh/fabric components.
Model:Fulkrum low Back-KT Series
</t>
    </r>
    <r>
      <rPr>
        <b/>
        <sz val="12"/>
        <color theme="1"/>
        <rFont val="Calibri"/>
      </rPr>
      <t>Brand: Merryfair</t>
    </r>
  </si>
  <si>
    <r>
      <rPr>
        <b/>
        <sz val="12"/>
        <color theme="1"/>
        <rFont val="Calibri"/>
      </rPr>
      <t>Pantry Chairs:</t>
    </r>
    <r>
      <rPr>
        <sz val="12"/>
        <color theme="1"/>
        <rFont val="Calibri"/>
      </rPr>
      <t xml:space="preserve">
Cafe chair made of PP seat and back</t>
    </r>
  </si>
  <si>
    <r>
      <rPr>
        <b/>
        <sz val="12"/>
        <color theme="1"/>
        <rFont val="Calibri"/>
      </rPr>
      <t xml:space="preserve">Training Chairs:
</t>
    </r>
    <r>
      <rPr>
        <sz val="12"/>
        <color theme="1"/>
        <rFont val="Calibri"/>
      </rPr>
      <t>Supply and instllation of Robo  Medium Mesh Back Chair - Black Cushion Seat  Centre Tilt Mechanism Lumbar Support Fixed Arms Nylon Base   
( As pe the sample)</t>
    </r>
  </si>
  <si>
    <r>
      <rPr>
        <b/>
        <sz val="12"/>
        <color theme="1"/>
        <rFont val="Calibri"/>
      </rPr>
      <t xml:space="preserve">Panelling Works: </t>
    </r>
    <r>
      <rPr>
        <sz val="12"/>
        <color theme="1"/>
        <rFont val="Calibri"/>
      </rPr>
      <t>Providing and fixing fluted wall panels with backing framework, including all materials, labour, and installation, complete.</t>
    </r>
  </si>
  <si>
    <r>
      <rPr>
        <b/>
        <sz val="12"/>
        <color theme="1"/>
        <rFont val="Calibri"/>
      </rPr>
      <t xml:space="preserve">Laminate Work: </t>
    </r>
    <r>
      <rPr>
        <sz val="12"/>
        <color theme="1"/>
        <rFont val="Calibri"/>
      </rPr>
      <t>Providing and pasting of new laminate on wall surface, including surface preparation, adhesive and finishing complete as per site requirement.</t>
    </r>
  </si>
  <si>
    <r>
      <rPr>
        <b/>
        <sz val="12"/>
        <color theme="1"/>
        <rFont val="Calibri"/>
      </rPr>
      <t>Acoustic Panels:</t>
    </r>
    <r>
      <rPr>
        <sz val="12"/>
        <color theme="1"/>
        <rFont val="Calibri"/>
      </rPr>
      <t xml:space="preserve">
Providing and fixing 9mm PET acoustic fluted wall panels with aluminium/plywood framing. Including all materials and labour, complete as per drawings and instructions.</t>
    </r>
  </si>
  <si>
    <t>Ply Deck</t>
  </si>
  <si>
    <r>
      <rPr>
        <b/>
        <sz val="12"/>
        <color theme="1"/>
        <rFont val="Calibri"/>
      </rPr>
      <t>18mm Ply Deck Work:</t>
    </r>
    <r>
      <rPr>
        <sz val="12"/>
        <color theme="1"/>
        <rFont val="Calibri"/>
      </rPr>
      <t xml:space="preserve">
Providing and fixing of 18mm plywood deck with laminate finish, including adhesive, edge finishing, cutting and fixing complete as per site requirement.</t>
    </r>
  </si>
  <si>
    <r>
      <rPr>
        <b/>
        <sz val="12"/>
        <color theme="1"/>
        <rFont val="Calibri"/>
      </rPr>
      <t xml:space="preserve">Storage Unit:
</t>
    </r>
    <r>
      <rPr>
        <sz val="12"/>
        <color theme="1"/>
        <rFont val="Calibri"/>
      </rPr>
      <t>Providing and fixing storage unit using 18mm thick BWP 710 Grade plywood finished with 1mm thick laminate externally and 1mm thick internal laminate of approved shade, complete as per approved design and site requirements.</t>
    </r>
  </si>
  <si>
    <r>
      <rPr>
        <b/>
        <sz val="12"/>
        <color theme="1"/>
        <rFont val="Calibri"/>
      </rPr>
      <t>Work Stations Support:</t>
    </r>
    <r>
      <rPr>
        <sz val="12"/>
        <color theme="1"/>
        <rFont val="Calibri"/>
      </rPr>
      <t xml:space="preserve">
Providing and fixing workstation support panel made of PLB board of size 2.5’ x 2.5’, complete with necessary supports and fixing arrangements as per approved design and site requirements.</t>
    </r>
  </si>
  <si>
    <r>
      <rPr>
        <b/>
        <sz val="12"/>
        <color theme="1"/>
        <rFont val="Calibri"/>
      </rPr>
      <t>Logo Work:</t>
    </r>
    <r>
      <rPr>
        <sz val="12"/>
        <color theme="1"/>
        <rFont val="Calibri"/>
      </rPr>
      <t xml:space="preserve"> Providing and fixing of logo as per approved design, including fabrication, materials, installation, and finishing. The rate includes all labour, tools, and complete work. Size considered 5' x 4' </t>
    </r>
  </si>
  <si>
    <r>
      <rPr>
        <b/>
        <sz val="12"/>
        <color theme="1"/>
        <rFont val="Calibri"/>
      </rPr>
      <t>Wall Paper: (Customized Wall paper)</t>
    </r>
    <r>
      <rPr>
        <sz val="12"/>
        <color theme="1"/>
        <rFont val="Calibri"/>
      </rPr>
      <t xml:space="preserve">
Providing and fixing designer wallpaper as per approved design, including surface preparation, adhesive, and complete installation at site.</t>
    </r>
  </si>
  <si>
    <t>Supply and fixing of laquered glass 6mm thick over ply panelling of 12mm thick including cost of all materials labour transport etc., complete. 6no's X6'X4'</t>
  </si>
  <si>
    <t>Blinds in Training Room</t>
  </si>
  <si>
    <r>
      <rPr>
        <b/>
        <sz val="12"/>
        <color theme="1"/>
        <rFont val="Calibri"/>
      </rPr>
      <t>Window Roller Blinds:</t>
    </r>
    <r>
      <rPr>
        <sz val="12"/>
        <color theme="1"/>
        <rFont val="Calibri"/>
      </rPr>
      <t xml:space="preserve">
Supply and installation of window roller blinds with aluminium headrail and fabric, custom-made as per window size. Suitable for classrooms and office windows. Complete with all fittings and accessories.</t>
    </r>
  </si>
  <si>
    <t>Storage Shutter Work</t>
  </si>
  <si>
    <t>Adjustment and alignment of existing storage shutters including necessary fittings and smooth operation complete as per site requirement.</t>
  </si>
  <si>
    <t>HVAC</t>
  </si>
  <si>
    <t>Supply  Installation and Testing commissioning of AC works for the said project Toshiba, Works includes VRV system-28 Hp-10 ODU and Cassete for conference rooms and Work Station area, Split AC's Cabin and Discussion Rooms, Copper pipe, communication cable with individual units remotes.(Price may vary as per site conditions and scope of work.)</t>
  </si>
  <si>
    <t>FA, PA, RRS, WLDS</t>
  </si>
  <si>
    <t>Providing, fixing and commissioning of Fire alarm System, Public address System, Rodent Repellent System and  including all necessary accessories, wiring and testing complete as per site requirement.</t>
  </si>
  <si>
    <t>AV System</t>
  </si>
  <si>
    <t>Providing and installation of AV system for training room including Interactive Screen brand BENQ Size: 86", Ahuja speakers, HDMI points, wiring and necessary accessories complete as per site requirement.</t>
  </si>
  <si>
    <t>Complete deep cleaning of floors, walls, windows, furniture and work areas using suitable cleaning materials and equipment, including shampoo wash at required locations.</t>
  </si>
  <si>
    <t xml:space="preserve">Regular cleaning and maintenance of floor, workstations, and common areas by housekeeping staff using necessary cleaning materials and tools.     </t>
  </si>
  <si>
    <t xml:space="preserve">Grand Total </t>
  </si>
  <si>
    <t>PAC Room</t>
  </si>
  <si>
    <t>Sprinkler System works - will be shared after the demolition works are done as per the actuals.</t>
  </si>
  <si>
    <t>Entrance</t>
  </si>
  <si>
    <t>Executive Cabin</t>
  </si>
  <si>
    <t>Manager Cabin table</t>
  </si>
  <si>
    <t>Round Table</t>
  </si>
  <si>
    <t>Office</t>
  </si>
  <si>
    <t>Speakers Podium</t>
  </si>
  <si>
    <t>Laminate Work</t>
  </si>
  <si>
    <t>Acoustic Panels</t>
  </si>
  <si>
    <t>Paritions</t>
  </si>
  <si>
    <t>Travel Desk/Visiting Dir</t>
  </si>
  <si>
    <t>Interview Rooms</t>
  </si>
  <si>
    <t>Cabins</t>
  </si>
  <si>
    <t>Utility Beside Room</t>
  </si>
  <si>
    <t>8Pax Conference Room</t>
  </si>
  <si>
    <t>Conference Room</t>
  </si>
  <si>
    <t>Brick Wall</t>
  </si>
  <si>
    <t>Columns</t>
  </si>
  <si>
    <t>Wall Panelling</t>
  </si>
  <si>
    <t>Linear Work Station Area</t>
  </si>
  <si>
    <t>Linear Work Station Area-Corridor</t>
  </si>
  <si>
    <t>Furniture</t>
  </si>
  <si>
    <t>Lights</t>
  </si>
  <si>
    <t>Shifting</t>
  </si>
  <si>
    <t>Entry Door</t>
  </si>
  <si>
    <t>Trap door</t>
  </si>
  <si>
    <t>Glass Door-Double Leaf-2700x2100mm</t>
  </si>
  <si>
    <t>Corridor</t>
  </si>
  <si>
    <t>Wooden Ply Paneling</t>
  </si>
  <si>
    <t>Corridor-1</t>
  </si>
  <si>
    <t>Corridor-2</t>
  </si>
  <si>
    <t>Work Station Arae</t>
  </si>
  <si>
    <t>Work station-Sharing</t>
  </si>
  <si>
    <t>Work Station</t>
  </si>
  <si>
    <t xml:space="preserve">Cubicle </t>
  </si>
  <si>
    <t>Pantry Chairs</t>
  </si>
  <si>
    <t xml:space="preserve">Pantry </t>
  </si>
  <si>
    <t>Fire Exit Beside</t>
  </si>
  <si>
    <t>Blinds</t>
  </si>
  <si>
    <t>Sprinkler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</si>
</sst>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00_);_(@_)"/>
    <numFmt numFmtId="166" formatCode="0.0"/>
    <numFmt numFmtId="167" formatCode="_ * #,##0_ ;_ * \-#,##0_ ;_ * &quot;-&quot;??_ ;_ @_ "/>
    <numFmt numFmtId="168" formatCode="_(* #,##0_);_(* \(#,##0\);_(* &quot;-&quot;??_);_(@_)"/>
  </numFmts>
  <fonts count="17">
    <font>
      <sz val="11"/>
      <color theme="1"/>
      <name val="Calibri"/>
      <scheme val="minor"/>
    </font>
    <font>
      <b/>
      <sz val="14"/>
      <color theme="1"/>
      <name val="Calibri"/>
    </font>
    <font>
      <sz val="11"/>
      <name val="Calibri"/>
    </font>
    <font>
      <b/>
      <sz val="16"/>
      <color theme="1"/>
      <name val="Calibri"/>
    </font>
    <font>
      <sz val="14"/>
      <color theme="1"/>
      <name val="Calibri"/>
    </font>
    <font>
      <b/>
      <sz val="13"/>
      <color theme="1"/>
      <name val="Calibri"/>
    </font>
    <font>
      <sz val="11"/>
      <color theme="1"/>
      <name val="Calibri"/>
    </font>
    <font>
      <sz val="11"/>
      <color theme="1"/>
      <name val="Calibri"/>
    </font>
    <font>
      <b/>
      <sz val="11"/>
      <color theme="1"/>
      <name val="Calibri"/>
    </font>
    <font>
      <sz val="12"/>
      <color theme="1"/>
      <name val="Calibri"/>
    </font>
    <font>
      <b/>
      <sz val="12"/>
      <color theme="1"/>
      <name val="Calibri"/>
    </font>
    <font>
      <b/>
      <u/>
      <sz val="12"/>
      <color theme="1"/>
      <name val="Calibri"/>
    </font>
    <font>
      <sz val="11"/>
      <color theme="1"/>
      <name val="Calibri"/>
      <scheme val="minor"/>
    </font>
    <font>
      <b/>
      <sz val="15"/>
      <color rgb="FFFF0000"/>
      <name val="Calibri"/>
    </font>
    <font>
      <sz val="15"/>
      <color theme="1"/>
      <name val="Calibri"/>
    </font>
    <font>
      <b/>
      <sz val="17"/>
      <color theme="1"/>
      <name val="Calibri"/>
    </font>
    <font>
      <b/>
      <sz val="18"/>
      <color theme="1"/>
      <name val="Calibri"/>
    </font>
  </fonts>
  <fills count="11">
    <fill>
      <patternFill patternType="none"/>
    </fill>
    <fill>
      <patternFill patternType="gray125"/>
    </fill>
    <fill>
      <patternFill patternType="solid">
        <fgColor rgb="FFD5A6BD"/>
        <bgColor rgb="FFD5A6BD"/>
      </patternFill>
    </fill>
    <fill>
      <patternFill patternType="solid">
        <fgColor rgb="FFFBD4B4"/>
        <bgColor rgb="FFFBD4B4"/>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
      <patternFill patternType="solid">
        <fgColor rgb="FFDBE5F1"/>
        <bgColor rgb="FFDBE5F1"/>
      </patternFill>
    </fill>
    <fill>
      <patternFill patternType="solid">
        <fgColor rgb="FFFFFF00"/>
        <bgColor rgb="FFFFFF00"/>
      </patternFill>
    </fill>
    <fill>
      <patternFill patternType="solid">
        <fgColor rgb="FFD9EAD3"/>
        <bgColor rgb="FFD9EAD3"/>
      </patternFill>
    </fill>
    <fill>
      <patternFill patternType="solid">
        <fgColor rgb="FFEAD1DC"/>
        <bgColor rgb="FFEAD1DC"/>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4">
    <xf numFmtId="0" fontId="0" fillId="0" borderId="0" xfId="0" applyFont="1" applyAlignment="1"/>
    <xf numFmtId="0" fontId="3" fillId="0" borderId="0" xfId="0" applyFont="1" applyAlignment="1">
      <alignment horizontal="center" vertical="top" wrapText="1"/>
    </xf>
    <xf numFmtId="0" fontId="6" fillId="3" borderId="10" xfId="0" applyFont="1" applyFill="1" applyBorder="1" applyAlignment="1">
      <alignment horizontal="center"/>
    </xf>
    <xf numFmtId="0" fontId="1" fillId="0" borderId="0" xfId="0" applyFont="1" applyAlignment="1">
      <alignment horizontal="center" vertical="center" wrapText="1"/>
    </xf>
    <xf numFmtId="0" fontId="7" fillId="0" borderId="10" xfId="0" applyFont="1" applyBorder="1"/>
    <xf numFmtId="0" fontId="8" fillId="4" borderId="10" xfId="0" applyFont="1" applyFill="1" applyBorder="1" applyAlignment="1">
      <alignment horizontal="center"/>
    </xf>
    <xf numFmtId="0" fontId="6" fillId="0" borderId="10" xfId="0" applyFont="1" applyBorder="1" applyAlignment="1"/>
    <xf numFmtId="0" fontId="6" fillId="0" borderId="10" xfId="0" applyFont="1" applyBorder="1" applyAlignment="1">
      <alignment horizontal="center"/>
    </xf>
    <xf numFmtId="1" fontId="6" fillId="0" borderId="10" xfId="0" applyNumberFormat="1" applyFont="1" applyBorder="1" applyAlignment="1">
      <alignment horizontal="center"/>
    </xf>
    <xf numFmtId="0" fontId="6" fillId="0" borderId="10" xfId="0" applyFont="1" applyBorder="1" applyAlignment="1"/>
    <xf numFmtId="1" fontId="10" fillId="0" borderId="10" xfId="0" applyNumberFormat="1" applyFont="1" applyBorder="1" applyAlignment="1">
      <alignment horizontal="center"/>
    </xf>
    <xf numFmtId="0" fontId="11" fillId="6" borderId="10"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0" xfId="0" applyFont="1" applyFill="1" applyBorder="1" applyAlignment="1">
      <alignment horizontal="center" wrapText="1"/>
    </xf>
    <xf numFmtId="0" fontId="8" fillId="0" borderId="10" xfId="0" applyFont="1" applyBorder="1" applyAlignment="1">
      <alignment horizontal="center"/>
    </xf>
    <xf numFmtId="166" fontId="6" fillId="5" borderId="10" xfId="0" applyNumberFormat="1" applyFont="1" applyFill="1" applyBorder="1" applyAlignment="1"/>
    <xf numFmtId="0" fontId="1" fillId="5" borderId="10" xfId="0" applyFont="1" applyFill="1" applyBorder="1" applyAlignment="1">
      <alignment horizontal="center"/>
    </xf>
    <xf numFmtId="0" fontId="6" fillId="0" borderId="10" xfId="0" applyFont="1" applyBorder="1" applyAlignment="1">
      <alignment horizontal="center"/>
    </xf>
    <xf numFmtId="166" fontId="6" fillId="4" borderId="10" xfId="0" applyNumberFormat="1" applyFont="1" applyFill="1" applyBorder="1" applyAlignment="1"/>
    <xf numFmtId="1" fontId="10" fillId="7" borderId="10" xfId="0" applyNumberFormat="1" applyFont="1" applyFill="1" applyBorder="1" applyAlignment="1">
      <alignment horizontal="center"/>
    </xf>
    <xf numFmtId="0" fontId="9" fillId="5" borderId="10" xfId="0" applyFont="1" applyFill="1" applyBorder="1" applyAlignment="1">
      <alignment vertical="top" wrapText="1"/>
    </xf>
    <xf numFmtId="0" fontId="9" fillId="5" borderId="10" xfId="0" applyFont="1" applyFill="1" applyBorder="1" applyAlignment="1">
      <alignment horizontal="center" vertical="center"/>
    </xf>
    <xf numFmtId="0" fontId="10" fillId="7" borderId="1" xfId="0" applyFont="1" applyFill="1" applyBorder="1" applyAlignment="1">
      <alignment vertical="top"/>
    </xf>
    <xf numFmtId="1" fontId="6" fillId="5" borderId="0" xfId="0" applyNumberFormat="1" applyFont="1" applyFill="1" applyAlignment="1">
      <alignment horizontal="center" vertical="center"/>
    </xf>
    <xf numFmtId="2" fontId="9" fillId="5" borderId="10" xfId="0" applyNumberFormat="1" applyFont="1" applyFill="1" applyBorder="1" applyAlignment="1">
      <alignment horizontal="center" vertical="center"/>
    </xf>
    <xf numFmtId="1" fontId="9" fillId="5" borderId="10" xfId="0" applyNumberFormat="1" applyFont="1" applyFill="1" applyBorder="1" applyAlignment="1">
      <alignment horizontal="center" vertical="center"/>
    </xf>
    <xf numFmtId="166" fontId="9" fillId="5" borderId="10" xfId="0" applyNumberFormat="1" applyFont="1" applyFill="1" applyBorder="1" applyAlignment="1">
      <alignment horizontal="center" vertical="center"/>
    </xf>
    <xf numFmtId="0" fontId="9" fillId="0" borderId="10" xfId="0" applyFont="1" applyBorder="1" applyAlignment="1">
      <alignment vertical="top" wrapText="1"/>
    </xf>
    <xf numFmtId="0" fontId="7" fillId="0" borderId="0" xfId="0" applyFont="1" applyAlignment="1">
      <alignment horizontal="center" vertical="center"/>
    </xf>
    <xf numFmtId="0" fontId="7" fillId="0" borderId="0" xfId="0" applyFont="1" applyAlignment="1">
      <alignment wrapText="1"/>
    </xf>
    <xf numFmtId="0" fontId="10" fillId="5" borderId="10" xfId="0" applyFont="1" applyFill="1" applyBorder="1" applyAlignment="1">
      <alignment vertical="top" wrapText="1"/>
    </xf>
    <xf numFmtId="0" fontId="8" fillId="0" borderId="10" xfId="0" applyFont="1" applyBorder="1" applyAlignment="1">
      <alignment horizontal="center"/>
    </xf>
    <xf numFmtId="0" fontId="9" fillId="5" borderId="10" xfId="0" applyFont="1" applyFill="1" applyBorder="1" applyAlignment="1">
      <alignment vertical="top" wrapText="1"/>
    </xf>
    <xf numFmtId="2" fontId="9" fillId="5" borderId="10" xfId="0" applyNumberFormat="1" applyFont="1" applyFill="1" applyBorder="1" applyAlignment="1">
      <alignment horizontal="center" vertical="center"/>
    </xf>
    <xf numFmtId="1" fontId="6" fillId="5" borderId="0" xfId="0" applyNumberFormat="1" applyFont="1" applyFill="1" applyAlignment="1">
      <alignment horizontal="center" vertical="center"/>
    </xf>
    <xf numFmtId="166" fontId="9" fillId="5" borderId="10" xfId="0" applyNumberFormat="1" applyFont="1" applyFill="1" applyBorder="1" applyAlignment="1">
      <alignment horizontal="center" vertical="center"/>
    </xf>
    <xf numFmtId="0" fontId="6" fillId="0" borderId="10" xfId="0" applyFont="1" applyBorder="1" applyAlignment="1">
      <alignment horizontal="center" vertical="center"/>
    </xf>
    <xf numFmtId="0" fontId="6" fillId="5" borderId="10" xfId="0" applyFont="1" applyFill="1" applyBorder="1" applyAlignment="1">
      <alignment vertical="top" wrapText="1"/>
    </xf>
    <xf numFmtId="0" fontId="6" fillId="5" borderId="10" xfId="0" applyFont="1" applyFill="1" applyBorder="1" applyAlignment="1">
      <alignment horizontal="center" vertical="center"/>
    </xf>
    <xf numFmtId="1" fontId="6" fillId="5" borderId="10" xfId="0" applyNumberFormat="1" applyFont="1" applyFill="1" applyBorder="1" applyAlignment="1">
      <alignment horizontal="center" vertical="center"/>
    </xf>
    <xf numFmtId="2" fontId="6" fillId="9" borderId="10" xfId="0" applyNumberFormat="1" applyFont="1" applyFill="1" applyBorder="1" applyAlignment="1">
      <alignment horizontal="center" vertical="center"/>
    </xf>
    <xf numFmtId="1" fontId="10" fillId="7" borderId="10" xfId="0" applyNumberFormat="1" applyFont="1" applyFill="1" applyBorder="1" applyAlignment="1">
      <alignment horizontal="center"/>
    </xf>
    <xf numFmtId="0" fontId="9" fillId="0" borderId="10" xfId="0" applyFont="1" applyBorder="1" applyAlignment="1">
      <alignment horizontal="center" vertical="center"/>
    </xf>
    <xf numFmtId="2" fontId="9" fillId="0" borderId="10" xfId="0" applyNumberFormat="1" applyFont="1" applyBorder="1" applyAlignment="1">
      <alignment horizontal="center" vertical="center"/>
    </xf>
    <xf numFmtId="0" fontId="6" fillId="10" borderId="10" xfId="0" applyFont="1" applyFill="1" applyBorder="1"/>
    <xf numFmtId="2" fontId="6" fillId="0" borderId="10" xfId="0" applyNumberFormat="1" applyFont="1" applyBorder="1" applyAlignment="1"/>
    <xf numFmtId="0" fontId="9" fillId="0" borderId="10" xfId="0" applyFont="1" applyBorder="1" applyAlignment="1">
      <alignment horizontal="center"/>
    </xf>
    <xf numFmtId="2" fontId="9" fillId="0" borderId="10" xfId="0" applyNumberFormat="1" applyFont="1" applyBorder="1" applyAlignment="1">
      <alignment horizontal="center"/>
    </xf>
    <xf numFmtId="0" fontId="6" fillId="9" borderId="10" xfId="0" applyFont="1" applyFill="1" applyBorder="1"/>
    <xf numFmtId="0" fontId="9" fillId="0" borderId="10" xfId="0" applyFont="1" applyBorder="1" applyAlignment="1">
      <alignment vertical="top" wrapText="1"/>
    </xf>
    <xf numFmtId="0" fontId="6" fillId="0" borderId="10" xfId="0" applyFont="1" applyBorder="1"/>
    <xf numFmtId="0" fontId="9" fillId="0" borderId="0" xfId="0" applyFont="1" applyAlignment="1">
      <alignment vertical="top" wrapText="1"/>
    </xf>
    <xf numFmtId="1" fontId="6" fillId="0" borderId="0" xfId="0" applyNumberFormat="1" applyFont="1"/>
    <xf numFmtId="1" fontId="6" fillId="0" borderId="0" xfId="0" applyNumberFormat="1" applyFont="1" applyAlignment="1"/>
    <xf numFmtId="0" fontId="9" fillId="5" borderId="10" xfId="0" applyFont="1" applyFill="1" applyBorder="1" applyAlignment="1">
      <alignment horizontal="center" vertical="center"/>
    </xf>
    <xf numFmtId="0" fontId="9" fillId="0" borderId="10" xfId="0" applyFont="1" applyBorder="1" applyAlignment="1">
      <alignment horizontal="center" vertical="center"/>
    </xf>
    <xf numFmtId="1" fontId="9" fillId="0" borderId="0" xfId="0" applyNumberFormat="1" applyFont="1" applyAlignment="1">
      <alignment horizontal="center" vertical="center"/>
    </xf>
    <xf numFmtId="0" fontId="10" fillId="0" borderId="10" xfId="0" applyFont="1" applyBorder="1" applyAlignment="1">
      <alignment horizontal="center"/>
    </xf>
    <xf numFmtId="0" fontId="6" fillId="5" borderId="10" xfId="0" applyFont="1" applyFill="1" applyBorder="1"/>
    <xf numFmtId="2" fontId="6" fillId="5" borderId="10" xfId="0" applyNumberFormat="1" applyFont="1" applyFill="1" applyBorder="1"/>
    <xf numFmtId="0" fontId="9" fillId="5" borderId="10" xfId="0" applyFont="1" applyFill="1" applyBorder="1" applyAlignment="1">
      <alignment vertical="top"/>
    </xf>
    <xf numFmtId="0" fontId="9" fillId="5" borderId="10" xfId="0" applyFont="1" applyFill="1" applyBorder="1" applyAlignment="1">
      <alignment horizontal="center"/>
    </xf>
    <xf numFmtId="2" fontId="9" fillId="5" borderId="10" xfId="0" applyNumberFormat="1" applyFont="1" applyFill="1" applyBorder="1" applyAlignment="1">
      <alignment horizontal="center"/>
    </xf>
    <xf numFmtId="0" fontId="8" fillId="7" borderId="10" xfId="0" applyFont="1" applyFill="1" applyBorder="1" applyAlignment="1">
      <alignment horizontal="center" vertical="center"/>
    </xf>
    <xf numFmtId="0" fontId="9" fillId="5" borderId="10" xfId="0" applyFont="1" applyFill="1" applyBorder="1" applyAlignment="1">
      <alignment horizontal="center" vertical="center" wrapText="1"/>
    </xf>
    <xf numFmtId="0" fontId="9" fillId="5" borderId="10" xfId="0" applyFont="1" applyFill="1" applyBorder="1" applyAlignment="1">
      <alignment horizontal="left" vertical="top" wrapText="1"/>
    </xf>
    <xf numFmtId="1" fontId="9" fillId="5" borderId="10" xfId="0" applyNumberFormat="1" applyFont="1" applyFill="1" applyBorder="1" applyAlignment="1">
      <alignment horizontal="center" vertical="center" wrapText="1"/>
    </xf>
    <xf numFmtId="0" fontId="10" fillId="7" borderId="3" xfId="0" applyFont="1" applyFill="1" applyBorder="1" applyAlignment="1">
      <alignment vertical="top"/>
    </xf>
    <xf numFmtId="0" fontId="9" fillId="5" borderId="10" xfId="0" applyFont="1" applyFill="1" applyBorder="1" applyAlignment="1">
      <alignment horizontal="center" vertical="center" wrapText="1"/>
    </xf>
    <xf numFmtId="0" fontId="9" fillId="5" borderId="10" xfId="0" applyFont="1" applyFill="1" applyBorder="1" applyAlignment="1">
      <alignment horizontal="left" vertical="top" wrapText="1"/>
    </xf>
    <xf numFmtId="166" fontId="9" fillId="0" borderId="10" xfId="0" applyNumberFormat="1" applyFont="1" applyBorder="1" applyAlignment="1">
      <alignment horizontal="center" vertical="center"/>
    </xf>
    <xf numFmtId="0" fontId="3" fillId="0" borderId="0" xfId="0" applyFont="1" applyAlignment="1">
      <alignment horizontal="center" vertical="center" wrapText="1"/>
    </xf>
    <xf numFmtId="0" fontId="12" fillId="0" borderId="10" xfId="0" applyFont="1" applyBorder="1"/>
    <xf numFmtId="3" fontId="10" fillId="6" borderId="10" xfId="0" applyNumberFormat="1" applyFont="1" applyFill="1" applyBorder="1" applyAlignment="1">
      <alignment horizontal="center" wrapText="1"/>
    </xf>
    <xf numFmtId="164" fontId="10" fillId="6" borderId="10" xfId="0" applyNumberFormat="1" applyFont="1" applyFill="1" applyBorder="1" applyAlignment="1">
      <alignment horizontal="center" wrapText="1"/>
    </xf>
    <xf numFmtId="0" fontId="3" fillId="0" borderId="0" xfId="0" applyFont="1" applyAlignment="1">
      <alignment horizontal="center" vertical="center" wrapText="1"/>
    </xf>
    <xf numFmtId="0" fontId="3" fillId="0" borderId="0" xfId="0" applyFont="1" applyAlignment="1">
      <alignment horizontal="center" vertical="top" wrapText="1"/>
    </xf>
    <xf numFmtId="3" fontId="1" fillId="5" borderId="10" xfId="0" applyNumberFormat="1" applyFont="1" applyFill="1" applyBorder="1" applyAlignment="1">
      <alignment horizontal="center"/>
    </xf>
    <xf numFmtId="164" fontId="6" fillId="5" borderId="10" xfId="0" applyNumberFormat="1" applyFont="1" applyFill="1" applyBorder="1" applyAlignment="1"/>
    <xf numFmtId="0" fontId="1" fillId="0" borderId="0" xfId="0" applyFont="1" applyAlignment="1">
      <alignment horizontal="center" vertical="center" wrapText="1"/>
    </xf>
    <xf numFmtId="164" fontId="6" fillId="4" borderId="10" xfId="0" applyNumberFormat="1" applyFont="1" applyFill="1" applyBorder="1" applyAlignment="1"/>
    <xf numFmtId="3" fontId="9" fillId="5" borderId="10" xfId="0" applyNumberFormat="1" applyFont="1" applyFill="1" applyBorder="1" applyAlignment="1">
      <alignment horizontal="center" vertical="center"/>
    </xf>
    <xf numFmtId="164" fontId="9" fillId="5" borderId="10" xfId="0" applyNumberFormat="1" applyFont="1" applyFill="1" applyBorder="1" applyAlignment="1">
      <alignment horizontal="right" vertical="center"/>
    </xf>
    <xf numFmtId="164" fontId="6" fillId="7" borderId="10" xfId="0" applyNumberFormat="1" applyFont="1" applyFill="1" applyBorder="1" applyAlignment="1"/>
    <xf numFmtId="0" fontId="10" fillId="5" borderId="10" xfId="0" applyFont="1" applyFill="1" applyBorder="1" applyAlignment="1">
      <alignment vertical="top" wrapText="1"/>
    </xf>
    <xf numFmtId="1" fontId="6" fillId="5" borderId="0" xfId="0" applyNumberFormat="1" applyFont="1" applyFill="1" applyAlignment="1">
      <alignment horizontal="center" vertical="center" wrapText="1"/>
    </xf>
    <xf numFmtId="0" fontId="9" fillId="5" borderId="10" xfId="0" applyFont="1" applyFill="1" applyBorder="1" applyAlignment="1">
      <alignment vertical="top" wrapText="1"/>
    </xf>
    <xf numFmtId="3" fontId="9" fillId="0" borderId="10" xfId="0" applyNumberFormat="1" applyFont="1" applyBorder="1" applyAlignment="1">
      <alignment horizontal="center" vertical="center"/>
    </xf>
    <xf numFmtId="164" fontId="9" fillId="0" borderId="10" xfId="0" applyNumberFormat="1" applyFont="1" applyBorder="1" applyAlignment="1">
      <alignment horizontal="right" vertical="center"/>
    </xf>
    <xf numFmtId="3" fontId="9" fillId="0" borderId="10" xfId="0" applyNumberFormat="1" applyFont="1" applyBorder="1" applyAlignment="1">
      <alignment horizontal="center" vertical="center"/>
    </xf>
    <xf numFmtId="3" fontId="6" fillId="0" borderId="10" xfId="0" applyNumberFormat="1" applyFont="1" applyBorder="1" applyAlignment="1"/>
    <xf numFmtId="164" fontId="6" fillId="0" borderId="10" xfId="0" applyNumberFormat="1" applyFont="1" applyBorder="1" applyAlignment="1"/>
    <xf numFmtId="3" fontId="9" fillId="0" borderId="10" xfId="0" applyNumberFormat="1" applyFont="1" applyBorder="1" applyAlignment="1">
      <alignment horizontal="center"/>
    </xf>
    <xf numFmtId="164" fontId="9" fillId="0" borderId="10" xfId="0" applyNumberFormat="1" applyFont="1" applyBorder="1" applyAlignment="1">
      <alignment horizontal="right"/>
    </xf>
    <xf numFmtId="3" fontId="9" fillId="5" borderId="10" xfId="0" applyNumberFormat="1" applyFont="1" applyFill="1" applyBorder="1" applyAlignment="1">
      <alignment horizontal="center"/>
    </xf>
    <xf numFmtId="164" fontId="9" fillId="5" borderId="10" xfId="0" applyNumberFormat="1" applyFont="1" applyFill="1" applyBorder="1" applyAlignment="1">
      <alignment horizontal="right"/>
    </xf>
    <xf numFmtId="3" fontId="9" fillId="0" borderId="10" xfId="0" applyNumberFormat="1" applyFont="1" applyBorder="1" applyAlignment="1">
      <alignment horizontal="center"/>
    </xf>
    <xf numFmtId="3" fontId="9" fillId="5" borderId="10" xfId="0" applyNumberFormat="1" applyFont="1" applyFill="1" applyBorder="1" applyAlignment="1">
      <alignment horizontal="center" vertical="center"/>
    </xf>
    <xf numFmtId="1" fontId="6" fillId="0" borderId="0" xfId="0" applyNumberFormat="1" applyFont="1" applyAlignment="1">
      <alignment horizontal="center" vertical="center"/>
    </xf>
    <xf numFmtId="1" fontId="6" fillId="0" borderId="0" xfId="0" applyNumberFormat="1" applyFont="1" applyAlignment="1">
      <alignment horizontal="center" vertical="center"/>
    </xf>
    <xf numFmtId="166" fontId="9" fillId="8" borderId="10" xfId="0" applyNumberFormat="1" applyFont="1" applyFill="1" applyBorder="1" applyAlignment="1">
      <alignment horizontal="center" vertical="center"/>
    </xf>
    <xf numFmtId="0" fontId="9" fillId="8" borderId="10" xfId="0" applyFont="1" applyFill="1" applyBorder="1" applyAlignment="1">
      <alignment vertical="top" wrapText="1"/>
    </xf>
    <xf numFmtId="0" fontId="9" fillId="8" borderId="10" xfId="0" applyFont="1" applyFill="1" applyBorder="1" applyAlignment="1">
      <alignment horizontal="center" vertical="center"/>
    </xf>
    <xf numFmtId="2" fontId="9" fillId="8" borderId="10" xfId="0" applyNumberFormat="1" applyFont="1" applyFill="1" applyBorder="1" applyAlignment="1">
      <alignment horizontal="center" vertical="center"/>
    </xf>
    <xf numFmtId="3" fontId="9" fillId="8" borderId="10" xfId="0" applyNumberFormat="1" applyFont="1" applyFill="1" applyBorder="1" applyAlignment="1">
      <alignment horizontal="center" vertical="center"/>
    </xf>
    <xf numFmtId="164" fontId="9" fillId="8" borderId="10" xfId="0" applyNumberFormat="1" applyFont="1" applyFill="1" applyBorder="1" applyAlignment="1">
      <alignment horizontal="right" vertical="center"/>
    </xf>
    <xf numFmtId="3" fontId="6" fillId="5" borderId="10" xfId="0" applyNumberFormat="1" applyFont="1" applyFill="1" applyBorder="1"/>
    <xf numFmtId="164" fontId="6" fillId="5" borderId="10" xfId="0" applyNumberFormat="1" applyFont="1" applyFill="1" applyBorder="1"/>
    <xf numFmtId="0" fontId="9" fillId="8" borderId="10" xfId="0" applyFont="1" applyFill="1" applyBorder="1" applyAlignment="1">
      <alignment vertical="top" wrapText="1"/>
    </xf>
    <xf numFmtId="164" fontId="10" fillId="7" borderId="10" xfId="0" applyNumberFormat="1" applyFont="1" applyFill="1" applyBorder="1" applyAlignment="1">
      <alignment vertical="top"/>
    </xf>
    <xf numFmtId="3" fontId="9" fillId="5" borderId="10" xfId="0" applyNumberFormat="1" applyFont="1" applyFill="1" applyBorder="1" applyAlignment="1">
      <alignment horizontal="center" vertical="center" wrapText="1"/>
    </xf>
    <xf numFmtId="3" fontId="9" fillId="5" borderId="10" xfId="0" applyNumberFormat="1" applyFont="1" applyFill="1" applyBorder="1" applyAlignment="1">
      <alignment horizontal="center" vertical="center" wrapText="1"/>
    </xf>
    <xf numFmtId="1" fontId="13" fillId="5" borderId="0" xfId="0" applyNumberFormat="1" applyFont="1" applyFill="1" applyAlignment="1">
      <alignment horizontal="center" vertical="center"/>
    </xf>
    <xf numFmtId="0" fontId="10" fillId="7" borderId="2" xfId="0" applyFont="1" applyFill="1" applyBorder="1" applyAlignment="1">
      <alignment vertical="top"/>
    </xf>
    <xf numFmtId="1" fontId="14" fillId="5" borderId="0" xfId="0" applyNumberFormat="1" applyFont="1" applyFill="1" applyAlignment="1">
      <alignment horizontal="center" vertical="center"/>
    </xf>
    <xf numFmtId="167" fontId="6" fillId="7" borderId="10" xfId="0" applyNumberFormat="1" applyFont="1" applyFill="1" applyBorder="1" applyAlignment="1"/>
    <xf numFmtId="0" fontId="9" fillId="5" borderId="10" xfId="0" applyFont="1" applyFill="1" applyBorder="1" applyAlignment="1">
      <alignment vertical="top" wrapText="1"/>
    </xf>
    <xf numFmtId="168" fontId="9" fillId="0" borderId="10" xfId="0" applyNumberFormat="1" applyFont="1" applyBorder="1" applyAlignment="1">
      <alignment horizontal="right" vertical="center"/>
    </xf>
    <xf numFmtId="1" fontId="14" fillId="5" borderId="0" xfId="0" applyNumberFormat="1" applyFont="1" applyFill="1" applyAlignment="1">
      <alignment horizontal="center" vertical="center"/>
    </xf>
    <xf numFmtId="2" fontId="6" fillId="5" borderId="10" xfId="0" applyNumberFormat="1" applyFont="1" applyFill="1" applyBorder="1" applyAlignment="1">
      <alignment horizontal="center" vertical="center"/>
    </xf>
    <xf numFmtId="3" fontId="6" fillId="5" borderId="10" xfId="0" applyNumberFormat="1" applyFont="1" applyFill="1" applyBorder="1" applyAlignment="1">
      <alignment horizontal="center" vertical="center"/>
    </xf>
    <xf numFmtId="167" fontId="6" fillId="5" borderId="10" xfId="0" applyNumberFormat="1" applyFont="1" applyFill="1" applyBorder="1" applyAlignment="1">
      <alignment horizontal="right" vertical="center"/>
    </xf>
    <xf numFmtId="3" fontId="6" fillId="5" borderId="0" xfId="0" applyNumberFormat="1" applyFont="1" applyFill="1" applyAlignment="1">
      <alignment horizontal="center" vertical="center"/>
    </xf>
    <xf numFmtId="3" fontId="6" fillId="5" borderId="10" xfId="0" applyNumberFormat="1" applyFont="1" applyFill="1" applyBorder="1" applyAlignment="1">
      <alignment horizontal="center" vertical="center"/>
    </xf>
    <xf numFmtId="164" fontId="6" fillId="5" borderId="10" xfId="0" applyNumberFormat="1" applyFont="1" applyFill="1" applyBorder="1" applyAlignment="1">
      <alignment horizontal="center" vertical="center"/>
    </xf>
    <xf numFmtId="3" fontId="1" fillId="9" borderId="10" xfId="0" applyNumberFormat="1" applyFont="1" applyFill="1" applyBorder="1" applyAlignment="1">
      <alignment horizontal="center" vertical="center" wrapText="1"/>
    </xf>
    <xf numFmtId="0" fontId="12" fillId="0" borderId="0" xfId="0" applyFont="1" applyAlignment="1">
      <alignment horizontal="center" vertical="center"/>
    </xf>
    <xf numFmtId="0" fontId="9" fillId="0" borderId="0" xfId="0" applyFont="1" applyAlignment="1">
      <alignment horizontal="center" vertical="center" wrapText="1"/>
    </xf>
    <xf numFmtId="3" fontId="12" fillId="0" borderId="0" xfId="0" applyNumberFormat="1" applyFont="1"/>
    <xf numFmtId="164" fontId="7" fillId="0" borderId="0" xfId="0" applyNumberFormat="1" applyFont="1"/>
    <xf numFmtId="1" fontId="10" fillId="0" borderId="10" xfId="0" applyNumberFormat="1" applyFont="1" applyBorder="1" applyAlignment="1">
      <alignment horizontal="center"/>
    </xf>
    <xf numFmtId="0" fontId="8" fillId="0" borderId="10" xfId="0" applyFont="1" applyBorder="1"/>
    <xf numFmtId="2" fontId="8" fillId="0" borderId="10" xfId="0" applyNumberFormat="1" applyFont="1" applyBorder="1" applyAlignment="1">
      <alignment horizontal="center"/>
    </xf>
    <xf numFmtId="0" fontId="8" fillId="0" borderId="10" xfId="0" applyFont="1" applyBorder="1" applyAlignment="1"/>
    <xf numFmtId="0" fontId="7" fillId="0" borderId="10" xfId="0" applyFont="1" applyBorder="1" applyAlignme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0" borderId="4" xfId="0" applyFont="1" applyBorder="1" applyAlignment="1">
      <alignment horizontal="center" vertical="center"/>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xf>
    <xf numFmtId="0" fontId="10" fillId="7" borderId="1" xfId="0" applyFont="1" applyFill="1" applyBorder="1" applyAlignment="1">
      <alignment vertical="top"/>
    </xf>
    <xf numFmtId="1" fontId="10" fillId="7" borderId="1" xfId="0" applyNumberFormat="1" applyFont="1" applyFill="1" applyBorder="1" applyAlignment="1">
      <alignment vertical="top"/>
    </xf>
    <xf numFmtId="0" fontId="1" fillId="9" borderId="1" xfId="0" applyFont="1" applyFill="1" applyBorder="1" applyAlignment="1">
      <alignment horizontal="center" vertical="top" wrapText="1"/>
    </xf>
    <xf numFmtId="0" fontId="1" fillId="9" borderId="1" xfId="0" applyFont="1" applyFill="1" applyBorder="1" applyAlignment="1">
      <alignment horizontal="center" wrapText="1"/>
    </xf>
    <xf numFmtId="0" fontId="10" fillId="10" borderId="1" xfId="0" applyFont="1" applyFill="1" applyBorder="1" applyAlignment="1">
      <alignment vertical="top" wrapText="1"/>
    </xf>
    <xf numFmtId="0" fontId="9" fillId="10" borderId="1" xfId="0" applyFont="1" applyFill="1" applyBorder="1" applyAlignment="1">
      <alignment vertical="top" wrapText="1"/>
    </xf>
    <xf numFmtId="0" fontId="10" fillId="9"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horizontal="center"/>
    </xf>
    <xf numFmtId="0" fontId="8" fillId="0" borderId="1" xfId="0" applyFont="1" applyBorder="1"/>
    <xf numFmtId="0" fontId="8" fillId="0" borderId="1" xfId="0" applyFont="1" applyBorder="1" applyAlignment="1"/>
    <xf numFmtId="0" fontId="8" fillId="4" borderId="1" xfId="0" applyFont="1" applyFill="1" applyBorder="1" applyAlignment="1">
      <alignment horizontal="center"/>
    </xf>
    <xf numFmtId="0" fontId="8" fillId="4" borderId="1" xfId="0" applyFont="1" applyFill="1" applyBorder="1" applyAlignment="1">
      <alignment horizontal="center" vertical="center"/>
    </xf>
    <xf numFmtId="3" fontId="3" fillId="0" borderId="4" xfId="0" applyNumberFormat="1" applyFont="1" applyBorder="1" applyAlignment="1">
      <alignment horizontal="center" vertical="top" wrapText="1"/>
    </xf>
    <xf numFmtId="3" fontId="1"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2"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21" Type="http://schemas.openxmlformats.org/officeDocument/2006/relationships/calcChain" Target="calcChain.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38100</xdr:colOff>
      <xdr:row>5</xdr:row>
      <xdr:rowOff>38100</xdr:rowOff>
    </xdr:from>
    <xdr:ext cx="2019300" cy="59055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1095375</xdr:colOff>
      <xdr:row>0</xdr:row>
      <xdr:rowOff>257175</xdr:rowOff>
    </xdr:from>
    <xdr:ext cx="2314575" cy="1485900"/>
    <xdr:pic>
      <xdr:nvPicPr>
        <xdr:cNvPr id="3" name="image2.png"/>
        <xdr:cNvPicPr preferRelativeResize="0"/>
      </xdr:nvPicPr>
      <xdr:blipFill>
        <a:blip xmlns:r="http://schemas.openxmlformats.org/officeDocument/2006/relationships" r:embed="rId2" cstate="print"/>
        <a:stretch>
          <a:fillRect/>
        </a:stretch>
      </xdr:blipFill>
      <xdr:spPr>
        <a:xfrm>
          <a:off x="1676400" y="257175"/>
          <a:ext cx="2314575" cy="14859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98"/>
  <sheetViews>
    <sheetView tabSelected="1" workbookViewId="0">
      <selection activeCell="B108" sqref="B108:E108"/>
    </sheetView>
  </sheetViews>
  <sheetFormatPr defaultColWidth="14.42578125" defaultRowHeight="15" customHeight="1"/>
  <cols>
    <col min="1" max="1" width="8.7109375" customWidth="1"/>
    <col min="2" max="2" width="74" customWidth="1"/>
    <col min="3" max="3" width="16.28515625" customWidth="1"/>
    <col min="4" max="4" width="16.42578125" customWidth="1"/>
    <col min="5" max="5" width="15.42578125" customWidth="1"/>
    <col min="6" max="6" width="16.28515625" customWidth="1"/>
    <col min="7" max="7" width="13.85546875" hidden="1" customWidth="1"/>
    <col min="8" max="8" width="15.28515625" customWidth="1"/>
    <col min="9" max="14" width="13.85546875" customWidth="1"/>
  </cols>
  <sheetData>
    <row r="1" spans="1:14" ht="21">
      <c r="A1" s="135" t="s">
        <v>0</v>
      </c>
      <c r="B1" s="136"/>
      <c r="C1" s="136"/>
      <c r="D1" s="136"/>
      <c r="E1" s="136"/>
      <c r="F1" s="137"/>
      <c r="G1" s="1"/>
      <c r="H1" s="71"/>
      <c r="I1" s="1"/>
      <c r="J1" s="1"/>
      <c r="K1" s="1"/>
      <c r="L1" s="1"/>
      <c r="M1" s="1"/>
      <c r="N1" s="1"/>
    </row>
    <row r="2" spans="1:14" ht="14.25" customHeight="1">
      <c r="A2" s="138"/>
      <c r="B2" s="139"/>
      <c r="C2" s="144" t="s">
        <v>103</v>
      </c>
      <c r="D2" s="139"/>
      <c r="E2" s="160" t="s">
        <v>104</v>
      </c>
      <c r="F2" s="139"/>
      <c r="G2" s="1"/>
      <c r="H2" s="71"/>
      <c r="I2" s="1"/>
      <c r="J2" s="1"/>
      <c r="K2" s="1"/>
      <c r="L2" s="1"/>
      <c r="M2" s="1"/>
      <c r="N2" s="1"/>
    </row>
    <row r="3" spans="1:14" ht="14.25" customHeight="1">
      <c r="A3" s="140"/>
      <c r="B3" s="141"/>
      <c r="C3" s="140"/>
      <c r="D3" s="141"/>
      <c r="E3" s="140"/>
      <c r="F3" s="141"/>
      <c r="G3" s="1"/>
      <c r="H3" s="71"/>
      <c r="I3" s="1"/>
      <c r="J3" s="1"/>
      <c r="K3" s="1"/>
      <c r="L3" s="1"/>
      <c r="M3" s="1"/>
      <c r="N3" s="1"/>
    </row>
    <row r="4" spans="1:14" ht="14.25" customHeight="1">
      <c r="A4" s="140"/>
      <c r="B4" s="141"/>
      <c r="C4" s="140"/>
      <c r="D4" s="141"/>
      <c r="E4" s="140"/>
      <c r="F4" s="141"/>
      <c r="G4" s="1"/>
      <c r="H4" s="71"/>
      <c r="I4" s="1"/>
      <c r="J4" s="1"/>
      <c r="K4" s="1"/>
      <c r="L4" s="1"/>
      <c r="M4" s="1"/>
      <c r="N4" s="1"/>
    </row>
    <row r="5" spans="1:14" ht="14.25" customHeight="1">
      <c r="A5" s="140"/>
      <c r="B5" s="141"/>
      <c r="C5" s="140"/>
      <c r="D5" s="141"/>
      <c r="E5" s="140"/>
      <c r="F5" s="141"/>
      <c r="G5" s="1"/>
      <c r="H5" s="71"/>
      <c r="I5" s="1"/>
      <c r="J5" s="1"/>
      <c r="K5" s="1"/>
      <c r="L5" s="1"/>
      <c r="M5" s="1"/>
      <c r="N5" s="1"/>
    </row>
    <row r="6" spans="1:14" ht="64.5" customHeight="1">
      <c r="A6" s="142"/>
      <c r="B6" s="143"/>
      <c r="C6" s="142"/>
      <c r="D6" s="143"/>
      <c r="E6" s="142"/>
      <c r="F6" s="143"/>
      <c r="G6" s="1"/>
      <c r="H6" s="71"/>
      <c r="I6" s="1"/>
      <c r="J6" s="1"/>
      <c r="K6" s="1"/>
      <c r="L6" s="1"/>
      <c r="M6" s="1"/>
      <c r="N6" s="1"/>
    </row>
    <row r="7" spans="1:14" ht="42.75" customHeight="1">
      <c r="A7" s="162" t="s">
        <v>1</v>
      </c>
      <c r="B7" s="163"/>
      <c r="C7" s="145" t="s">
        <v>2</v>
      </c>
      <c r="D7" s="137"/>
      <c r="E7" s="161" t="s">
        <v>107</v>
      </c>
      <c r="F7" s="137"/>
      <c r="G7" s="3"/>
      <c r="H7" s="3"/>
      <c r="I7" s="3"/>
      <c r="J7" s="3"/>
      <c r="K7" s="3"/>
      <c r="L7" s="3"/>
      <c r="M7" s="3"/>
      <c r="N7" s="3"/>
    </row>
    <row r="8" spans="1:14" ht="21">
      <c r="A8" s="11" t="s">
        <v>108</v>
      </c>
      <c r="B8" s="12" t="s">
        <v>16</v>
      </c>
      <c r="C8" s="12" t="s">
        <v>17</v>
      </c>
      <c r="D8" s="13" t="s">
        <v>18</v>
      </c>
      <c r="E8" s="73" t="s">
        <v>20</v>
      </c>
      <c r="F8" s="74" t="s">
        <v>21</v>
      </c>
      <c r="G8" s="1"/>
      <c r="H8" s="75" t="s">
        <v>110</v>
      </c>
      <c r="I8" s="76" t="s">
        <v>111</v>
      </c>
      <c r="J8" s="1"/>
      <c r="K8" s="1"/>
      <c r="L8" s="1"/>
      <c r="M8" s="1"/>
      <c r="N8" s="1"/>
    </row>
    <row r="9" spans="1:14" ht="18.75">
      <c r="A9" s="15"/>
      <c r="B9" s="16"/>
      <c r="C9" s="16"/>
      <c r="D9" s="16"/>
      <c r="E9" s="77"/>
      <c r="F9" s="78"/>
      <c r="G9" s="3"/>
      <c r="H9" s="3"/>
      <c r="I9" s="3"/>
      <c r="J9" s="3"/>
      <c r="K9" s="3"/>
      <c r="L9" s="3"/>
      <c r="M9" s="3"/>
      <c r="N9" s="79" t="s">
        <v>113</v>
      </c>
    </row>
    <row r="10" spans="1:14" ht="18.75">
      <c r="A10" s="18"/>
      <c r="B10" s="146" t="s">
        <v>13</v>
      </c>
      <c r="C10" s="136"/>
      <c r="D10" s="136"/>
      <c r="E10" s="137"/>
      <c r="F10" s="80"/>
      <c r="G10" s="3"/>
      <c r="H10" s="3"/>
      <c r="I10" s="3"/>
      <c r="J10" s="3"/>
      <c r="K10" s="3"/>
      <c r="L10" s="79" t="s">
        <v>114</v>
      </c>
      <c r="M10" s="79" t="s">
        <v>115</v>
      </c>
      <c r="N10" s="79" t="s">
        <v>116</v>
      </c>
    </row>
    <row r="11" spans="1:14" ht="63">
      <c r="A11" s="25">
        <v>1.1000000000000001</v>
      </c>
      <c r="B11" s="32" t="s">
        <v>117</v>
      </c>
      <c r="C11" s="54" t="s">
        <v>30</v>
      </c>
      <c r="D11" s="24">
        <f>'Details-R0'!G20</f>
        <v>3477.5</v>
      </c>
      <c r="E11" s="81">
        <v>28</v>
      </c>
      <c r="F11" s="82">
        <f t="shared" ref="F11:F22" si="0">E11*D11</f>
        <v>97370</v>
      </c>
      <c r="G11" s="3"/>
      <c r="H11" s="3"/>
      <c r="I11" s="3"/>
      <c r="J11" s="3"/>
      <c r="K11" s="3"/>
      <c r="L11" s="3"/>
      <c r="M11" s="3"/>
      <c r="N11" s="3"/>
    </row>
    <row r="12" spans="1:14" ht="63">
      <c r="A12" s="25">
        <v>2</v>
      </c>
      <c r="B12" s="32" t="s">
        <v>120</v>
      </c>
      <c r="C12" s="54" t="s">
        <v>27</v>
      </c>
      <c r="D12" s="24">
        <f>'Details-R0'!G24</f>
        <v>1</v>
      </c>
      <c r="E12" s="81">
        <v>10000</v>
      </c>
      <c r="F12" s="82">
        <f t="shared" si="0"/>
        <v>10000</v>
      </c>
      <c r="G12" s="3"/>
      <c r="H12" s="3"/>
      <c r="I12" s="3"/>
      <c r="J12" s="3"/>
      <c r="K12" s="3"/>
      <c r="L12" s="3"/>
      <c r="M12" s="3"/>
      <c r="N12" s="3"/>
    </row>
    <row r="13" spans="1:14" ht="63">
      <c r="A13" s="25">
        <v>2.9</v>
      </c>
      <c r="B13" s="32" t="s">
        <v>122</v>
      </c>
      <c r="C13" s="54" t="s">
        <v>30</v>
      </c>
      <c r="D13" s="24">
        <f>'Details-R0'!G31</f>
        <v>750</v>
      </c>
      <c r="E13" s="81">
        <v>25</v>
      </c>
      <c r="F13" s="82">
        <f t="shared" si="0"/>
        <v>18750</v>
      </c>
      <c r="G13" s="3"/>
      <c r="H13" s="3"/>
      <c r="I13" s="3"/>
      <c r="J13" s="3"/>
      <c r="K13" s="3"/>
      <c r="L13" s="3"/>
      <c r="M13" s="3"/>
      <c r="N13" s="3"/>
    </row>
    <row r="14" spans="1:14" ht="63">
      <c r="A14" s="25">
        <v>3.8</v>
      </c>
      <c r="B14" s="32" t="s">
        <v>124</v>
      </c>
      <c r="C14" s="54" t="s">
        <v>30</v>
      </c>
      <c r="D14" s="24">
        <f>'Details-R0'!G37</f>
        <v>507.375</v>
      </c>
      <c r="E14" s="81">
        <v>27</v>
      </c>
      <c r="F14" s="82">
        <f t="shared" si="0"/>
        <v>13699.125</v>
      </c>
      <c r="G14" s="3"/>
      <c r="H14" s="3"/>
      <c r="I14" s="3"/>
      <c r="J14" s="3"/>
      <c r="K14" s="3"/>
      <c r="L14" s="3"/>
      <c r="M14" s="3"/>
      <c r="N14" s="3"/>
    </row>
    <row r="15" spans="1:14" ht="63">
      <c r="A15" s="25">
        <v>4.7</v>
      </c>
      <c r="B15" s="32" t="s">
        <v>125</v>
      </c>
      <c r="C15" s="54" t="s">
        <v>30</v>
      </c>
      <c r="D15" s="24">
        <f>'Details-R0'!G54</f>
        <v>1391</v>
      </c>
      <c r="E15" s="81">
        <v>19</v>
      </c>
      <c r="F15" s="82">
        <f t="shared" si="0"/>
        <v>26429</v>
      </c>
      <c r="G15" s="3"/>
      <c r="H15" s="3"/>
      <c r="I15" s="3"/>
      <c r="J15" s="3"/>
      <c r="K15" s="3"/>
      <c r="L15" s="3"/>
      <c r="M15" s="3"/>
      <c r="N15" s="3"/>
    </row>
    <row r="16" spans="1:14" ht="47.25">
      <c r="A16" s="25">
        <v>5.6</v>
      </c>
      <c r="B16" s="32" t="s">
        <v>126</v>
      </c>
      <c r="C16" s="54" t="s">
        <v>27</v>
      </c>
      <c r="D16" s="24">
        <f>'Details-R0'!G58</f>
        <v>1</v>
      </c>
      <c r="E16" s="81">
        <v>250000</v>
      </c>
      <c r="F16" s="82">
        <f t="shared" si="0"/>
        <v>250000</v>
      </c>
      <c r="G16" s="3"/>
      <c r="H16" s="3"/>
      <c r="I16" s="3"/>
      <c r="J16" s="3"/>
      <c r="K16" s="3"/>
      <c r="L16" s="3"/>
      <c r="M16" s="3"/>
      <c r="N16" s="3"/>
    </row>
    <row r="17" spans="1:14" ht="63">
      <c r="A17" s="25">
        <v>6.5</v>
      </c>
      <c r="B17" s="32" t="s">
        <v>127</v>
      </c>
      <c r="C17" s="54" t="s">
        <v>27</v>
      </c>
      <c r="D17" s="24">
        <f>'Details-R0'!G66</f>
        <v>1</v>
      </c>
      <c r="E17" s="81">
        <v>30000</v>
      </c>
      <c r="F17" s="82">
        <f t="shared" si="0"/>
        <v>30000</v>
      </c>
      <c r="G17" s="3"/>
      <c r="H17" s="3"/>
      <c r="I17" s="3"/>
      <c r="J17" s="3"/>
      <c r="K17" s="3"/>
      <c r="L17" s="3"/>
      <c r="M17" s="3"/>
      <c r="N17" s="3"/>
    </row>
    <row r="18" spans="1:14" ht="47.25">
      <c r="A18" s="25">
        <v>8</v>
      </c>
      <c r="B18" s="32" t="s">
        <v>128</v>
      </c>
      <c r="C18" s="54" t="s">
        <v>27</v>
      </c>
      <c r="D18" s="24">
        <f>'Details-R0'!G70</f>
        <v>1</v>
      </c>
      <c r="E18" s="81">
        <v>25000</v>
      </c>
      <c r="F18" s="82">
        <f t="shared" si="0"/>
        <v>25000</v>
      </c>
      <c r="G18" s="3"/>
      <c r="H18" s="3"/>
      <c r="I18" s="3"/>
      <c r="J18" s="3"/>
      <c r="K18" s="3"/>
      <c r="L18" s="3"/>
      <c r="M18" s="3"/>
      <c r="N18" s="3"/>
    </row>
    <row r="19" spans="1:14" ht="47.25">
      <c r="A19" s="25">
        <v>9</v>
      </c>
      <c r="B19" s="32" t="s">
        <v>129</v>
      </c>
      <c r="C19" s="54" t="s">
        <v>27</v>
      </c>
      <c r="D19" s="24">
        <f>'Details-R0'!G74</f>
        <v>1</v>
      </c>
      <c r="E19" s="81">
        <v>35000</v>
      </c>
      <c r="F19" s="82">
        <f t="shared" si="0"/>
        <v>35000</v>
      </c>
      <c r="G19" s="3"/>
      <c r="H19" s="3"/>
      <c r="I19" s="3"/>
      <c r="J19" s="3"/>
      <c r="K19" s="3"/>
      <c r="L19" s="3"/>
      <c r="M19" s="3"/>
      <c r="N19" s="3"/>
    </row>
    <row r="20" spans="1:14" ht="31.5">
      <c r="A20" s="25">
        <v>10</v>
      </c>
      <c r="B20" s="32" t="s">
        <v>130</v>
      </c>
      <c r="C20" s="54" t="s">
        <v>131</v>
      </c>
      <c r="D20" s="24">
        <f>'Details-R0'!G78</f>
        <v>15</v>
      </c>
      <c r="E20" s="81">
        <v>5000</v>
      </c>
      <c r="F20" s="82">
        <f t="shared" si="0"/>
        <v>75000</v>
      </c>
      <c r="G20" s="3"/>
      <c r="H20" s="3"/>
      <c r="I20" s="3"/>
      <c r="J20" s="3"/>
      <c r="K20" s="3"/>
      <c r="L20" s="3"/>
      <c r="M20" s="3"/>
      <c r="N20" s="3"/>
    </row>
    <row r="21" spans="1:14" ht="47.25">
      <c r="A21" s="25">
        <v>11</v>
      </c>
      <c r="B21" s="32" t="s">
        <v>132</v>
      </c>
      <c r="C21" s="54" t="s">
        <v>6</v>
      </c>
      <c r="D21" s="24">
        <f>'Details-R0'!G88</f>
        <v>13</v>
      </c>
      <c r="E21" s="81">
        <v>2800</v>
      </c>
      <c r="F21" s="82">
        <f t="shared" si="0"/>
        <v>36400</v>
      </c>
      <c r="G21" s="3"/>
      <c r="H21" s="3"/>
      <c r="I21" s="3"/>
      <c r="J21" s="3"/>
      <c r="K21" s="3"/>
      <c r="L21" s="3"/>
      <c r="M21" s="3"/>
      <c r="N21" s="3"/>
    </row>
    <row r="22" spans="1:14" ht="63">
      <c r="A22" s="25">
        <v>12</v>
      </c>
      <c r="B22" s="32" t="s">
        <v>134</v>
      </c>
      <c r="C22" s="54" t="s">
        <v>27</v>
      </c>
      <c r="D22" s="33">
        <v>1</v>
      </c>
      <c r="E22" s="81">
        <v>75000</v>
      </c>
      <c r="F22" s="82">
        <f t="shared" si="0"/>
        <v>75000</v>
      </c>
      <c r="G22" s="3"/>
      <c r="H22" s="24">
        <f>137*2*250</f>
        <v>68500</v>
      </c>
      <c r="I22" s="3"/>
      <c r="J22" s="3"/>
      <c r="K22" s="3"/>
      <c r="L22" s="3"/>
      <c r="M22" s="3"/>
      <c r="N22" s="3"/>
    </row>
    <row r="23" spans="1:14" ht="18.75">
      <c r="A23" s="15"/>
      <c r="B23" s="20"/>
      <c r="C23" s="21"/>
      <c r="D23" s="24"/>
      <c r="E23" s="81"/>
      <c r="F23" s="82"/>
      <c r="G23" s="3"/>
      <c r="H23" s="3"/>
      <c r="I23" s="3"/>
      <c r="J23" s="3"/>
      <c r="K23" s="3"/>
      <c r="L23" s="3"/>
      <c r="M23" s="3"/>
      <c r="N23" s="3"/>
    </row>
    <row r="24" spans="1:14" ht="18.75">
      <c r="A24" s="18"/>
      <c r="B24" s="146" t="s">
        <v>19</v>
      </c>
      <c r="C24" s="136"/>
      <c r="D24" s="136"/>
      <c r="E24" s="137"/>
      <c r="F24" s="80"/>
      <c r="G24" s="3"/>
      <c r="H24" s="3"/>
      <c r="I24" s="3"/>
      <c r="J24" s="3"/>
      <c r="K24" s="3"/>
      <c r="L24" s="3"/>
      <c r="M24" s="3"/>
      <c r="N24" s="3"/>
    </row>
    <row r="25" spans="1:14" ht="15.75">
      <c r="A25" s="19">
        <v>1</v>
      </c>
      <c r="B25" s="147" t="s">
        <v>22</v>
      </c>
      <c r="C25" s="136"/>
      <c r="D25" s="136"/>
      <c r="E25" s="137"/>
      <c r="F25" s="83"/>
      <c r="G25" s="23"/>
      <c r="H25" s="23"/>
      <c r="I25" s="23"/>
      <c r="J25" s="23"/>
      <c r="K25" s="23"/>
      <c r="L25" s="23"/>
      <c r="M25" s="23"/>
      <c r="N25" s="23"/>
    </row>
    <row r="26" spans="1:14" ht="78.75">
      <c r="A26" s="26">
        <v>1.1000000000000001</v>
      </c>
      <c r="B26" s="49" t="s">
        <v>135</v>
      </c>
      <c r="C26" s="21" t="s">
        <v>30</v>
      </c>
      <c r="D26" s="24">
        <f>'Details-R0'!G96</f>
        <v>28.5</v>
      </c>
      <c r="E26" s="81">
        <v>650</v>
      </c>
      <c r="F26" s="82">
        <f>E26*D26</f>
        <v>18525</v>
      </c>
      <c r="G26" s="23"/>
      <c r="H26" s="23"/>
      <c r="I26" s="23"/>
      <c r="J26" s="23"/>
      <c r="K26" s="23"/>
      <c r="L26" s="23"/>
      <c r="M26" s="23"/>
      <c r="N26" s="23"/>
    </row>
    <row r="27" spans="1:14" ht="15.75">
      <c r="A27" s="19">
        <v>2</v>
      </c>
      <c r="B27" s="147" t="s">
        <v>26</v>
      </c>
      <c r="C27" s="136"/>
      <c r="D27" s="136"/>
      <c r="E27" s="137"/>
      <c r="F27" s="83"/>
      <c r="G27" s="23"/>
      <c r="H27" s="23"/>
      <c r="I27" s="23"/>
      <c r="J27" s="23"/>
      <c r="K27" s="23"/>
      <c r="L27" s="23"/>
      <c r="M27" s="23"/>
      <c r="N27" s="23"/>
    </row>
    <row r="28" spans="1:14" ht="63">
      <c r="A28" s="26">
        <v>2.1</v>
      </c>
      <c r="B28" s="84" t="s">
        <v>136</v>
      </c>
      <c r="C28" s="21" t="s">
        <v>27</v>
      </c>
      <c r="D28" s="24">
        <f>'Details-R0'!G102</f>
        <v>1</v>
      </c>
      <c r="E28" s="81">
        <v>100000</v>
      </c>
      <c r="F28" s="82">
        <f>E28*D28</f>
        <v>100000</v>
      </c>
      <c r="G28" s="23"/>
      <c r="H28" s="85" t="s">
        <v>137</v>
      </c>
      <c r="I28" s="23"/>
      <c r="J28" s="23"/>
      <c r="K28" s="23"/>
      <c r="L28" s="23"/>
      <c r="M28" s="23"/>
      <c r="N28" s="23"/>
    </row>
    <row r="29" spans="1:14" ht="15.75">
      <c r="A29" s="19">
        <v>3</v>
      </c>
      <c r="B29" s="147" t="s">
        <v>33</v>
      </c>
      <c r="C29" s="136"/>
      <c r="D29" s="136"/>
      <c r="E29" s="137"/>
      <c r="F29" s="83"/>
      <c r="G29" s="23"/>
      <c r="H29" s="23"/>
      <c r="I29" s="23"/>
      <c r="J29" s="23"/>
      <c r="K29" s="23"/>
      <c r="L29" s="23"/>
      <c r="M29" s="23"/>
      <c r="N29" s="23"/>
    </row>
    <row r="30" spans="1:14" ht="15.75">
      <c r="A30" s="26">
        <v>3.1</v>
      </c>
      <c r="B30" s="32" t="s">
        <v>139</v>
      </c>
      <c r="C30" s="21" t="s">
        <v>6</v>
      </c>
      <c r="D30" s="33">
        <f>'Details-R0'!G107</f>
        <v>1</v>
      </c>
      <c r="E30" s="81">
        <v>11500</v>
      </c>
      <c r="F30" s="82">
        <f t="shared" ref="F30:F31" si="1">E30*D30</f>
        <v>11500</v>
      </c>
      <c r="G30" s="23"/>
      <c r="H30" s="34">
        <v>8750</v>
      </c>
      <c r="I30" s="23"/>
      <c r="J30" s="23"/>
      <c r="K30" s="23"/>
      <c r="L30" s="23"/>
      <c r="M30" s="23"/>
      <c r="N30" s="23"/>
    </row>
    <row r="31" spans="1:14" ht="15.75">
      <c r="A31" s="26">
        <v>3.2</v>
      </c>
      <c r="B31" s="32" t="s">
        <v>141</v>
      </c>
      <c r="C31" s="21" t="s">
        <v>6</v>
      </c>
      <c r="D31" s="33">
        <f>'Details-R0'!G111</f>
        <v>1</v>
      </c>
      <c r="E31" s="81">
        <v>6500</v>
      </c>
      <c r="F31" s="82">
        <f t="shared" si="1"/>
        <v>6500</v>
      </c>
      <c r="G31" s="23"/>
      <c r="H31" s="34" t="s">
        <v>43</v>
      </c>
      <c r="I31" s="23"/>
      <c r="J31" s="23"/>
      <c r="K31" s="23"/>
      <c r="L31" s="23"/>
      <c r="M31" s="23"/>
      <c r="N31" s="23"/>
    </row>
    <row r="32" spans="1:14" ht="15.75">
      <c r="A32" s="19">
        <v>4</v>
      </c>
      <c r="B32" s="147" t="s">
        <v>142</v>
      </c>
      <c r="C32" s="136"/>
      <c r="D32" s="136"/>
      <c r="E32" s="137"/>
      <c r="F32" s="83"/>
      <c r="G32" s="23"/>
      <c r="H32" s="23"/>
      <c r="I32" s="23"/>
      <c r="J32" s="23"/>
      <c r="K32" s="23"/>
      <c r="L32" s="23"/>
      <c r="M32" s="23"/>
      <c r="N32" s="23"/>
    </row>
    <row r="33" spans="1:14" ht="63">
      <c r="A33" s="26">
        <v>4.0999999999999996</v>
      </c>
      <c r="B33" s="84" t="s">
        <v>143</v>
      </c>
      <c r="C33" s="21" t="s">
        <v>27</v>
      </c>
      <c r="D33" s="24">
        <f>'Details-R0'!G115</f>
        <v>1</v>
      </c>
      <c r="E33" s="81">
        <v>20000</v>
      </c>
      <c r="F33" s="82">
        <f>E33*D33</f>
        <v>20000</v>
      </c>
      <c r="G33" s="23"/>
      <c r="H33" s="23"/>
      <c r="I33" s="23"/>
      <c r="J33" s="23"/>
      <c r="K33" s="23"/>
      <c r="L33" s="23"/>
      <c r="M33" s="23"/>
      <c r="N33" s="23"/>
    </row>
    <row r="34" spans="1:14" ht="15.75">
      <c r="A34" s="19">
        <v>5</v>
      </c>
      <c r="B34" s="147" t="s">
        <v>145</v>
      </c>
      <c r="C34" s="136"/>
      <c r="D34" s="136"/>
      <c r="E34" s="137"/>
      <c r="F34" s="83"/>
      <c r="G34" s="23"/>
      <c r="H34" s="23"/>
      <c r="I34" s="23"/>
      <c r="J34" s="23"/>
      <c r="K34" s="23"/>
      <c r="L34" s="23"/>
      <c r="M34" s="23"/>
      <c r="N34" s="23"/>
    </row>
    <row r="35" spans="1:14" ht="47.25">
      <c r="A35" s="26">
        <v>5.0999999999999996</v>
      </c>
      <c r="B35" s="86" t="s">
        <v>146</v>
      </c>
      <c r="C35" s="21" t="s">
        <v>27</v>
      </c>
      <c r="D35" s="24">
        <f>'Details-R0'!G119</f>
        <v>1</v>
      </c>
      <c r="E35" s="81">
        <v>22500</v>
      </c>
      <c r="F35" s="82">
        <f>E35*D35</f>
        <v>22500</v>
      </c>
      <c r="G35" s="23"/>
      <c r="H35" s="23"/>
      <c r="I35" s="23"/>
      <c r="J35" s="23"/>
      <c r="K35" s="23"/>
      <c r="L35" s="23"/>
      <c r="M35" s="23"/>
      <c r="N35" s="23"/>
    </row>
    <row r="36" spans="1:14" ht="15.75">
      <c r="A36" s="19">
        <v>6</v>
      </c>
      <c r="B36" s="147" t="s">
        <v>148</v>
      </c>
      <c r="C36" s="136"/>
      <c r="D36" s="136"/>
      <c r="E36" s="137"/>
      <c r="F36" s="83"/>
      <c r="G36" s="23"/>
      <c r="H36" s="23"/>
      <c r="I36" s="23"/>
      <c r="J36" s="23"/>
      <c r="K36" s="23"/>
      <c r="L36" s="23"/>
      <c r="M36" s="23"/>
      <c r="N36" s="23"/>
    </row>
    <row r="37" spans="1:14" ht="31.5">
      <c r="A37" s="26">
        <v>6.1</v>
      </c>
      <c r="B37" s="86" t="s">
        <v>149</v>
      </c>
      <c r="C37" s="21" t="s">
        <v>27</v>
      </c>
      <c r="D37" s="24">
        <f>'Details-R0'!G123</f>
        <v>1</v>
      </c>
      <c r="E37" s="81">
        <v>4000</v>
      </c>
      <c r="F37" s="82">
        <f>E37*D37</f>
        <v>4000</v>
      </c>
      <c r="G37" s="23"/>
      <c r="H37" s="23"/>
      <c r="I37" s="23"/>
      <c r="J37" s="23"/>
      <c r="K37" s="23"/>
      <c r="L37" s="23"/>
      <c r="M37" s="23"/>
      <c r="N37" s="23"/>
    </row>
    <row r="38" spans="1:14" ht="15.75">
      <c r="A38" s="35"/>
      <c r="B38" s="84"/>
      <c r="C38" s="21"/>
      <c r="D38" s="24"/>
      <c r="E38" s="81"/>
      <c r="F38" s="82"/>
      <c r="G38" s="23"/>
      <c r="H38" s="23"/>
      <c r="I38" s="23"/>
      <c r="J38" s="23"/>
      <c r="K38" s="23"/>
      <c r="L38" s="23"/>
      <c r="M38" s="23"/>
      <c r="N38" s="23"/>
    </row>
    <row r="39" spans="1:14" ht="18.75">
      <c r="A39" s="18"/>
      <c r="B39" s="146" t="s">
        <v>24</v>
      </c>
      <c r="C39" s="136"/>
      <c r="D39" s="136"/>
      <c r="E39" s="137"/>
      <c r="F39" s="80"/>
      <c r="G39" s="23"/>
      <c r="H39" s="23"/>
      <c r="I39" s="23"/>
      <c r="J39" s="23"/>
      <c r="K39" s="23"/>
      <c r="L39" s="23"/>
      <c r="M39" s="23"/>
      <c r="N39" s="23"/>
    </row>
    <row r="40" spans="1:14" ht="15.75">
      <c r="A40" s="41">
        <v>1</v>
      </c>
      <c r="B40" s="147" t="s">
        <v>46</v>
      </c>
      <c r="C40" s="136"/>
      <c r="D40" s="136"/>
      <c r="E40" s="137"/>
      <c r="F40" s="83"/>
      <c r="G40" s="23"/>
      <c r="H40" s="23"/>
      <c r="I40" s="23"/>
      <c r="J40" s="23"/>
      <c r="K40" s="23"/>
      <c r="L40" s="23"/>
      <c r="M40" s="23"/>
      <c r="N40" s="23"/>
    </row>
    <row r="41" spans="1:14" ht="78.75">
      <c r="A41" s="35">
        <v>1.1000000000000001</v>
      </c>
      <c r="B41" s="49" t="s">
        <v>152</v>
      </c>
      <c r="C41" s="42" t="s">
        <v>30</v>
      </c>
      <c r="D41" s="43">
        <v>732</v>
      </c>
      <c r="E41" s="87">
        <v>520</v>
      </c>
      <c r="F41" s="88">
        <f t="shared" ref="F41:F42" si="2">E41*D41</f>
        <v>380640</v>
      </c>
      <c r="G41" s="23"/>
      <c r="H41" s="34">
        <v>385</v>
      </c>
      <c r="I41" s="34">
        <v>325</v>
      </c>
      <c r="J41" s="23"/>
      <c r="K41" s="23"/>
      <c r="L41" s="23"/>
      <c r="M41" s="23"/>
      <c r="N41" s="23"/>
    </row>
    <row r="42" spans="1:14" ht="63">
      <c r="A42" s="35">
        <v>1.2</v>
      </c>
      <c r="B42" s="27" t="s">
        <v>153</v>
      </c>
      <c r="C42" s="42" t="s">
        <v>30</v>
      </c>
      <c r="D42" s="43">
        <v>522</v>
      </c>
      <c r="E42" s="89">
        <v>150</v>
      </c>
      <c r="F42" s="88">
        <f t="shared" si="2"/>
        <v>78300</v>
      </c>
      <c r="G42" s="23"/>
      <c r="H42" s="34">
        <v>75</v>
      </c>
      <c r="I42" s="23"/>
      <c r="J42" s="23"/>
      <c r="K42" s="23"/>
      <c r="L42" s="23"/>
      <c r="M42" s="23"/>
      <c r="N42" s="23"/>
    </row>
    <row r="43" spans="1:14" ht="94.5">
      <c r="A43" s="35">
        <v>1.3</v>
      </c>
      <c r="B43" s="49" t="s">
        <v>154</v>
      </c>
      <c r="C43" s="9"/>
      <c r="D43" s="45"/>
      <c r="E43" s="90"/>
      <c r="F43" s="91"/>
      <c r="G43" s="23"/>
      <c r="H43" s="23"/>
      <c r="I43" s="23"/>
      <c r="J43" s="23"/>
      <c r="K43" s="23"/>
      <c r="L43" s="23"/>
      <c r="M43" s="23"/>
      <c r="N43" s="23"/>
    </row>
    <row r="44" spans="1:14" ht="15.75">
      <c r="A44" s="35"/>
      <c r="B44" s="27" t="s">
        <v>54</v>
      </c>
      <c r="C44" s="46" t="s">
        <v>6</v>
      </c>
      <c r="D44" s="47">
        <f>'Details-R0'!G159</f>
        <v>8</v>
      </c>
      <c r="E44" s="92">
        <v>46800</v>
      </c>
      <c r="F44" s="93">
        <f>E44*D44</f>
        <v>374400</v>
      </c>
      <c r="G44" s="23"/>
      <c r="H44" s="34">
        <v>29500</v>
      </c>
      <c r="I44" s="23"/>
      <c r="J44" s="23"/>
      <c r="K44" s="23"/>
      <c r="L44" s="23"/>
      <c r="M44" s="23"/>
      <c r="N44" s="23"/>
    </row>
    <row r="45" spans="1:14" ht="94.5">
      <c r="A45" s="35">
        <v>1.4</v>
      </c>
      <c r="B45" s="49" t="s">
        <v>155</v>
      </c>
      <c r="C45" s="9"/>
      <c r="D45" s="45"/>
      <c r="E45" s="90"/>
      <c r="F45" s="91"/>
      <c r="G45" s="23"/>
      <c r="H45" s="23"/>
      <c r="I45" s="23"/>
      <c r="J45" s="23"/>
      <c r="K45" s="23"/>
      <c r="L45" s="23"/>
      <c r="M45" s="23"/>
      <c r="N45" s="23"/>
    </row>
    <row r="46" spans="1:14" ht="15.75">
      <c r="A46" s="35"/>
      <c r="B46" s="32" t="s">
        <v>156</v>
      </c>
      <c r="C46" s="61" t="s">
        <v>6</v>
      </c>
      <c r="D46" s="62">
        <f>'Details-R0'!G163</f>
        <v>1</v>
      </c>
      <c r="E46" s="94">
        <v>97500</v>
      </c>
      <c r="F46" s="95">
        <f t="shared" ref="F46:F47" si="3">E46*D46</f>
        <v>97500</v>
      </c>
      <c r="G46" s="23"/>
      <c r="H46" s="34">
        <f>37500+37500</f>
        <v>75000</v>
      </c>
      <c r="I46" s="23"/>
      <c r="J46" s="23"/>
      <c r="K46" s="23"/>
      <c r="L46" s="23"/>
      <c r="M46" s="23"/>
      <c r="N46" s="23"/>
    </row>
    <row r="47" spans="1:14" ht="15.75">
      <c r="A47" s="35"/>
      <c r="B47" s="49" t="s">
        <v>63</v>
      </c>
      <c r="C47" s="46" t="s">
        <v>6</v>
      </c>
      <c r="D47" s="47">
        <f>'Details-R0'!G167</f>
        <v>1</v>
      </c>
      <c r="E47" s="96">
        <f>E44*2</f>
        <v>93600</v>
      </c>
      <c r="F47" s="93">
        <f t="shared" si="3"/>
        <v>93600</v>
      </c>
      <c r="G47" s="23"/>
      <c r="H47" s="23"/>
      <c r="I47" s="23"/>
      <c r="J47" s="23"/>
      <c r="K47" s="23"/>
      <c r="L47" s="23"/>
      <c r="M47" s="23"/>
      <c r="N47" s="23"/>
    </row>
    <row r="48" spans="1:14" ht="15.75">
      <c r="A48" s="35"/>
      <c r="B48" s="30"/>
      <c r="C48" s="21"/>
      <c r="D48" s="24"/>
      <c r="E48" s="97"/>
      <c r="F48" s="82"/>
      <c r="G48" s="23"/>
      <c r="H48" s="23"/>
      <c r="I48" s="23"/>
      <c r="J48" s="23"/>
      <c r="K48" s="23"/>
      <c r="L48" s="23"/>
      <c r="M48" s="23"/>
      <c r="N48" s="23"/>
    </row>
    <row r="49" spans="1:14" ht="18.75">
      <c r="A49" s="18"/>
      <c r="B49" s="146" t="s">
        <v>25</v>
      </c>
      <c r="C49" s="136"/>
      <c r="D49" s="136"/>
      <c r="E49" s="137"/>
      <c r="F49" s="80"/>
      <c r="G49" s="23"/>
      <c r="H49" s="23"/>
      <c r="I49" s="23"/>
      <c r="J49" s="23"/>
      <c r="K49" s="23"/>
      <c r="L49" s="23"/>
      <c r="M49" s="23"/>
      <c r="N49" s="23"/>
    </row>
    <row r="50" spans="1:14" ht="15.75">
      <c r="A50" s="41">
        <v>1</v>
      </c>
      <c r="B50" s="147" t="s">
        <v>59</v>
      </c>
      <c r="C50" s="136"/>
      <c r="D50" s="136"/>
      <c r="E50" s="137"/>
      <c r="F50" s="83"/>
      <c r="G50" s="52"/>
      <c r="H50" s="98"/>
      <c r="I50" s="53"/>
      <c r="J50" s="53"/>
      <c r="K50" s="53"/>
      <c r="L50" s="53"/>
      <c r="M50" s="53"/>
      <c r="N50" s="53"/>
    </row>
    <row r="51" spans="1:14" ht="126">
      <c r="A51" s="26">
        <v>1.1000000000000001</v>
      </c>
      <c r="B51" s="27" t="s">
        <v>157</v>
      </c>
      <c r="C51" s="21" t="s">
        <v>69</v>
      </c>
      <c r="D51" s="24">
        <f>'Details-R0'!G190</f>
        <v>4917.9031249999998</v>
      </c>
      <c r="E51" s="81">
        <v>95</v>
      </c>
      <c r="F51" s="82">
        <f>E51*D51</f>
        <v>467200.796875</v>
      </c>
      <c r="G51" s="53"/>
      <c r="H51" s="99">
        <v>65</v>
      </c>
      <c r="I51" s="53"/>
      <c r="J51" s="53"/>
      <c r="K51" s="53"/>
      <c r="L51" s="53"/>
      <c r="M51" s="53"/>
      <c r="N51" s="53"/>
    </row>
    <row r="52" spans="1:14" ht="15.75">
      <c r="A52" s="41">
        <v>2</v>
      </c>
      <c r="B52" s="147" t="s">
        <v>71</v>
      </c>
      <c r="C52" s="136"/>
      <c r="D52" s="136"/>
      <c r="E52" s="137"/>
      <c r="F52" s="83"/>
      <c r="G52" s="52"/>
      <c r="H52" s="98"/>
      <c r="I52" s="53"/>
      <c r="J52" s="53"/>
      <c r="K52" s="53"/>
      <c r="L52" s="53"/>
      <c r="M52" s="53"/>
      <c r="N52" s="53"/>
    </row>
    <row r="53" spans="1:14" ht="78.75">
      <c r="A53" s="100">
        <v>2.1</v>
      </c>
      <c r="B53" s="101" t="s">
        <v>158</v>
      </c>
      <c r="C53" s="102" t="s">
        <v>30</v>
      </c>
      <c r="D53" s="103">
        <f>'Details-R0'!G212</f>
        <v>1300.6499999999999</v>
      </c>
      <c r="E53" s="104">
        <v>180</v>
      </c>
      <c r="F53" s="105">
        <f t="shared" ref="F53:F54" si="4">E53*D53</f>
        <v>234116.99999999997</v>
      </c>
      <c r="G53" s="56"/>
      <c r="H53" s="98"/>
      <c r="I53" s="53"/>
      <c r="J53" s="53"/>
      <c r="K53" s="53"/>
      <c r="L53" s="53"/>
      <c r="M53" s="53"/>
      <c r="N53" s="53"/>
    </row>
    <row r="54" spans="1:14" ht="63">
      <c r="A54" s="26">
        <v>2.2000000000000002</v>
      </c>
      <c r="B54" s="49" t="s">
        <v>159</v>
      </c>
      <c r="C54" s="42" t="s">
        <v>30</v>
      </c>
      <c r="D54" s="43">
        <f>'Details-R0'!G220</f>
        <v>225</v>
      </c>
      <c r="E54" s="89">
        <v>450</v>
      </c>
      <c r="F54" s="88">
        <f t="shared" si="4"/>
        <v>101250</v>
      </c>
      <c r="G54" s="56"/>
      <c r="H54" s="98"/>
      <c r="I54" s="53"/>
      <c r="J54" s="53"/>
      <c r="K54" s="53"/>
      <c r="L54" s="53"/>
      <c r="M54" s="53"/>
      <c r="N54" s="53"/>
    </row>
    <row r="55" spans="1:14" ht="15.75">
      <c r="A55" s="41">
        <v>3</v>
      </c>
      <c r="B55" s="147" t="s">
        <v>76</v>
      </c>
      <c r="C55" s="136"/>
      <c r="D55" s="136"/>
      <c r="E55" s="137"/>
      <c r="F55" s="83"/>
      <c r="G55" s="52"/>
      <c r="H55" s="98"/>
      <c r="I55" s="53"/>
      <c r="J55" s="53"/>
      <c r="K55" s="53"/>
      <c r="L55" s="53"/>
      <c r="M55" s="53"/>
      <c r="N55" s="53"/>
    </row>
    <row r="56" spans="1:14" ht="94.5">
      <c r="A56" s="15"/>
      <c r="B56" s="30" t="s">
        <v>160</v>
      </c>
      <c r="C56" s="58"/>
      <c r="D56" s="59"/>
      <c r="E56" s="106"/>
      <c r="F56" s="107"/>
      <c r="G56" s="52"/>
      <c r="H56" s="98"/>
      <c r="I56" s="53"/>
      <c r="J56" s="53"/>
      <c r="K56" s="53"/>
      <c r="L56" s="53"/>
      <c r="M56" s="53"/>
      <c r="N56" s="53"/>
    </row>
    <row r="57" spans="1:14" ht="15.75">
      <c r="A57" s="35">
        <v>3.1</v>
      </c>
      <c r="B57" s="60" t="s">
        <v>54</v>
      </c>
      <c r="C57" s="61" t="s">
        <v>6</v>
      </c>
      <c r="D57" s="62">
        <f>'Details-R0'!G227</f>
        <v>2</v>
      </c>
      <c r="E57" s="94">
        <v>32000</v>
      </c>
      <c r="F57" s="95">
        <f>E57*D57</f>
        <v>64000</v>
      </c>
      <c r="G57" s="52"/>
      <c r="H57" s="98"/>
      <c r="I57" s="53"/>
      <c r="J57" s="53"/>
      <c r="K57" s="53"/>
      <c r="L57" s="53"/>
      <c r="M57" s="53"/>
      <c r="N57" s="53"/>
    </row>
    <row r="58" spans="1:14" ht="15.75">
      <c r="A58" s="41">
        <v>4</v>
      </c>
      <c r="B58" s="147" t="s">
        <v>80</v>
      </c>
      <c r="C58" s="136"/>
      <c r="D58" s="136"/>
      <c r="E58" s="137"/>
      <c r="F58" s="83"/>
      <c r="G58" s="52"/>
      <c r="H58" s="98"/>
      <c r="I58" s="53"/>
      <c r="J58" s="53"/>
      <c r="K58" s="53"/>
      <c r="L58" s="53"/>
      <c r="M58" s="53"/>
      <c r="N58" s="53"/>
    </row>
    <row r="59" spans="1:14" ht="63">
      <c r="A59" s="100">
        <v>4.0999999999999996</v>
      </c>
      <c r="B59" s="108" t="s">
        <v>161</v>
      </c>
      <c r="C59" s="102" t="s">
        <v>30</v>
      </c>
      <c r="D59" s="103">
        <f>'Details-R0'!G246</f>
        <v>4181.9375</v>
      </c>
      <c r="E59" s="104">
        <v>150</v>
      </c>
      <c r="F59" s="105">
        <f t="shared" ref="F59:F60" si="5">E59*D59</f>
        <v>627290.625</v>
      </c>
      <c r="G59" s="52"/>
      <c r="H59" s="98"/>
      <c r="I59" s="53"/>
      <c r="J59" s="53"/>
      <c r="K59" s="53"/>
      <c r="L59" s="53"/>
      <c r="M59" s="53"/>
      <c r="N59" s="53"/>
    </row>
    <row r="60" spans="1:14" ht="31.5">
      <c r="A60" s="35">
        <v>4.2</v>
      </c>
      <c r="B60" s="27" t="s">
        <v>162</v>
      </c>
      <c r="C60" s="42" t="s">
        <v>82</v>
      </c>
      <c r="D60" s="24">
        <f>'Details-R0'!G271</f>
        <v>534.25</v>
      </c>
      <c r="E60" s="81">
        <v>160</v>
      </c>
      <c r="F60" s="82">
        <f t="shared" si="5"/>
        <v>85480</v>
      </c>
      <c r="G60" s="52"/>
      <c r="H60" s="98"/>
      <c r="I60" s="53"/>
      <c r="J60" s="53"/>
      <c r="K60" s="53"/>
      <c r="L60" s="53"/>
      <c r="M60" s="53"/>
      <c r="N60" s="53"/>
    </row>
    <row r="61" spans="1:14" ht="18.75">
      <c r="A61" s="63">
        <v>5</v>
      </c>
      <c r="B61" s="147" t="s">
        <v>84</v>
      </c>
      <c r="C61" s="136"/>
      <c r="D61" s="136"/>
      <c r="E61" s="137"/>
      <c r="F61" s="109"/>
      <c r="G61" s="3"/>
      <c r="H61" s="3"/>
      <c r="I61" s="3"/>
      <c r="J61" s="3"/>
      <c r="K61" s="3"/>
      <c r="L61" s="3"/>
      <c r="M61" s="3"/>
      <c r="N61" s="3"/>
    </row>
    <row r="62" spans="1:14" ht="126">
      <c r="A62" s="35">
        <v>5.0999999999999996</v>
      </c>
      <c r="B62" s="20" t="s">
        <v>163</v>
      </c>
      <c r="C62" s="21" t="s">
        <v>30</v>
      </c>
      <c r="D62" s="24">
        <f>'Details-R0'!G321</f>
        <v>9532.3499999999985</v>
      </c>
      <c r="E62" s="97">
        <v>40</v>
      </c>
      <c r="F62" s="82">
        <f>E62*D62</f>
        <v>381293.99999999994</v>
      </c>
      <c r="G62" s="23"/>
      <c r="H62" s="23"/>
      <c r="I62" s="23"/>
      <c r="J62" s="23"/>
      <c r="K62" s="23"/>
      <c r="L62" s="23"/>
      <c r="M62" s="23"/>
      <c r="N62" s="23"/>
    </row>
    <row r="63" spans="1:14" ht="18.75">
      <c r="A63" s="63">
        <v>6</v>
      </c>
      <c r="B63" s="147" t="s">
        <v>85</v>
      </c>
      <c r="C63" s="136"/>
      <c r="D63" s="136"/>
      <c r="E63" s="137"/>
      <c r="F63" s="109"/>
      <c r="G63" s="3"/>
      <c r="H63" s="3"/>
      <c r="I63" s="3"/>
      <c r="J63" s="3"/>
      <c r="K63" s="3"/>
      <c r="L63" s="3"/>
      <c r="M63" s="3"/>
      <c r="N63" s="3"/>
    </row>
    <row r="64" spans="1:14" ht="78.75">
      <c r="A64" s="35">
        <v>6.1</v>
      </c>
      <c r="B64" s="20" t="s">
        <v>164</v>
      </c>
      <c r="C64" s="21" t="s">
        <v>30</v>
      </c>
      <c r="D64" s="24">
        <f>'Details-R0'!G327</f>
        <v>24</v>
      </c>
      <c r="E64" s="81">
        <v>3500</v>
      </c>
      <c r="F64" s="82">
        <f t="shared" ref="F64:F73" si="6">E64*D64</f>
        <v>84000</v>
      </c>
      <c r="G64" s="23"/>
      <c r="H64" s="23"/>
      <c r="I64" s="23"/>
      <c r="J64" s="23"/>
      <c r="K64" s="23"/>
      <c r="L64" s="23"/>
      <c r="M64" s="23"/>
      <c r="N64" s="23"/>
    </row>
    <row r="65" spans="1:14" ht="126">
      <c r="A65" s="26">
        <v>6.2</v>
      </c>
      <c r="B65" s="49" t="s">
        <v>165</v>
      </c>
      <c r="C65" s="21" t="s">
        <v>6</v>
      </c>
      <c r="D65" s="24">
        <f>'Details-R0'!G332</f>
        <v>1</v>
      </c>
      <c r="E65" s="81">
        <v>115000</v>
      </c>
      <c r="F65" s="82">
        <f t="shared" si="6"/>
        <v>115000</v>
      </c>
      <c r="G65" s="23"/>
      <c r="H65" s="23"/>
      <c r="I65" s="23"/>
      <c r="J65" s="23"/>
      <c r="K65" s="23"/>
      <c r="L65" s="23"/>
      <c r="M65" s="23"/>
      <c r="N65" s="23"/>
    </row>
    <row r="66" spans="1:14" ht="126">
      <c r="A66" s="35">
        <v>6.3</v>
      </c>
      <c r="B66" s="49" t="s">
        <v>166</v>
      </c>
      <c r="C66" s="21" t="s">
        <v>6</v>
      </c>
      <c r="D66" s="24">
        <f>'Details-R0'!G336</f>
        <v>1</v>
      </c>
      <c r="E66" s="81">
        <v>85450</v>
      </c>
      <c r="F66" s="82">
        <f t="shared" si="6"/>
        <v>85450</v>
      </c>
      <c r="G66" s="23"/>
      <c r="H66" s="23"/>
      <c r="I66" s="23"/>
      <c r="J66" s="23"/>
      <c r="K66" s="23"/>
      <c r="L66" s="23"/>
      <c r="M66" s="23"/>
      <c r="N66" s="23"/>
    </row>
    <row r="67" spans="1:14" ht="126">
      <c r="A67" s="26">
        <v>6.4</v>
      </c>
      <c r="B67" s="49" t="s">
        <v>167</v>
      </c>
      <c r="C67" s="21" t="s">
        <v>6</v>
      </c>
      <c r="D67" s="24">
        <f>'Details-R0'!G341</f>
        <v>2</v>
      </c>
      <c r="E67" s="81">
        <v>45600</v>
      </c>
      <c r="F67" s="82">
        <f t="shared" si="6"/>
        <v>91200</v>
      </c>
      <c r="G67" s="23"/>
      <c r="H67" s="23"/>
      <c r="I67" s="23"/>
      <c r="J67" s="23"/>
      <c r="K67" s="23"/>
      <c r="L67" s="23"/>
      <c r="M67" s="23"/>
      <c r="N67" s="23"/>
    </row>
    <row r="68" spans="1:14" ht="110.25">
      <c r="A68" s="26">
        <v>6.5</v>
      </c>
      <c r="B68" s="32" t="s">
        <v>168</v>
      </c>
      <c r="C68" s="21" t="s">
        <v>6</v>
      </c>
      <c r="D68" s="24">
        <f>'Details-R0'!G345</f>
        <v>1</v>
      </c>
      <c r="E68" s="81">
        <v>38550</v>
      </c>
      <c r="F68" s="82">
        <f t="shared" si="6"/>
        <v>38550</v>
      </c>
      <c r="G68" s="23"/>
      <c r="H68" s="23"/>
      <c r="I68" s="23"/>
      <c r="J68" s="23"/>
      <c r="K68" s="23"/>
      <c r="L68" s="23"/>
      <c r="M68" s="23"/>
      <c r="N68" s="23"/>
    </row>
    <row r="69" spans="1:14" ht="110.25">
      <c r="A69" s="26">
        <v>6.6</v>
      </c>
      <c r="B69" s="32" t="s">
        <v>169</v>
      </c>
      <c r="C69" s="21" t="s">
        <v>6</v>
      </c>
      <c r="D69" s="24">
        <f>'Details-R0'!G350</f>
        <v>116</v>
      </c>
      <c r="E69" s="97">
        <v>9800</v>
      </c>
      <c r="F69" s="82">
        <f t="shared" si="6"/>
        <v>1136800</v>
      </c>
      <c r="G69" s="23"/>
      <c r="H69" s="23"/>
      <c r="I69" s="23"/>
      <c r="J69" s="23"/>
      <c r="K69" s="23"/>
      <c r="L69" s="23"/>
      <c r="M69" s="23"/>
      <c r="N69" s="23"/>
    </row>
    <row r="70" spans="1:14" ht="110.25">
      <c r="A70" s="26">
        <v>6.7</v>
      </c>
      <c r="B70" s="32" t="s">
        <v>170</v>
      </c>
      <c r="C70" s="21" t="s">
        <v>6</v>
      </c>
      <c r="D70" s="24">
        <f>'Details-R0'!G356</f>
        <v>24</v>
      </c>
      <c r="E70" s="81">
        <v>11500</v>
      </c>
      <c r="F70" s="82">
        <f t="shared" si="6"/>
        <v>276000</v>
      </c>
      <c r="G70" s="23"/>
      <c r="H70" s="23"/>
      <c r="I70" s="23"/>
      <c r="J70" s="23"/>
      <c r="K70" s="23"/>
      <c r="L70" s="23"/>
      <c r="M70" s="23"/>
      <c r="N70" s="23"/>
    </row>
    <row r="71" spans="1:14" ht="110.25">
      <c r="A71" s="26">
        <v>6.8</v>
      </c>
      <c r="B71" s="32" t="s">
        <v>171</v>
      </c>
      <c r="C71" s="21" t="s">
        <v>6</v>
      </c>
      <c r="D71" s="24">
        <f>'Details-R0'!G360</f>
        <v>39</v>
      </c>
      <c r="E71" s="81">
        <v>14500</v>
      </c>
      <c r="F71" s="82">
        <f t="shared" si="6"/>
        <v>565500</v>
      </c>
      <c r="G71" s="23"/>
      <c r="H71" s="34">
        <v>7500</v>
      </c>
      <c r="I71" s="23"/>
      <c r="J71" s="23"/>
      <c r="K71" s="23"/>
      <c r="L71" s="23"/>
      <c r="M71" s="23"/>
      <c r="N71" s="23"/>
    </row>
    <row r="72" spans="1:14" ht="63">
      <c r="A72" s="26">
        <v>6.9</v>
      </c>
      <c r="B72" s="32" t="s">
        <v>172</v>
      </c>
      <c r="C72" s="21" t="s">
        <v>6</v>
      </c>
      <c r="D72" s="24">
        <f>'Details-R0'!G365</f>
        <v>3</v>
      </c>
      <c r="E72" s="81">
        <v>15000</v>
      </c>
      <c r="F72" s="82">
        <f t="shared" si="6"/>
        <v>45000</v>
      </c>
      <c r="G72" s="23"/>
      <c r="H72" s="23"/>
      <c r="I72" s="23"/>
      <c r="J72" s="23"/>
      <c r="K72" s="23"/>
      <c r="L72" s="23"/>
      <c r="M72" s="23"/>
      <c r="N72" s="23"/>
    </row>
    <row r="73" spans="1:14" ht="63">
      <c r="A73" s="33">
        <v>6.1</v>
      </c>
      <c r="B73" s="32" t="s">
        <v>173</v>
      </c>
      <c r="C73" s="21" t="s">
        <v>6</v>
      </c>
      <c r="D73" s="24">
        <f>'Details-R0'!G369</f>
        <v>1</v>
      </c>
      <c r="E73" s="81">
        <v>28750</v>
      </c>
      <c r="F73" s="82">
        <f t="shared" si="6"/>
        <v>28750</v>
      </c>
      <c r="G73" s="23"/>
      <c r="H73" s="23"/>
      <c r="I73" s="23"/>
      <c r="J73" s="23"/>
      <c r="K73" s="23"/>
      <c r="L73" s="23"/>
      <c r="M73" s="23"/>
      <c r="N73" s="23"/>
    </row>
    <row r="74" spans="1:14" ht="15.75">
      <c r="A74" s="41">
        <v>7</v>
      </c>
      <c r="B74" s="147" t="s">
        <v>90</v>
      </c>
      <c r="C74" s="136"/>
      <c r="D74" s="136"/>
      <c r="E74" s="137"/>
      <c r="F74" s="83"/>
      <c r="G74" s="23"/>
      <c r="H74" s="23"/>
      <c r="I74" s="23"/>
      <c r="J74" s="23"/>
      <c r="K74" s="23"/>
      <c r="L74" s="23"/>
      <c r="M74" s="23"/>
      <c r="N74" s="23"/>
    </row>
    <row r="75" spans="1:14" ht="267.75">
      <c r="A75" s="26">
        <v>7.1</v>
      </c>
      <c r="B75" s="32" t="s">
        <v>174</v>
      </c>
      <c r="C75" s="21" t="s">
        <v>6</v>
      </c>
      <c r="D75" s="24">
        <f>'Details-R0'!G384</f>
        <v>441</v>
      </c>
      <c r="E75" s="81">
        <f>10450*1.2</f>
        <v>12540</v>
      </c>
      <c r="F75" s="82">
        <f t="shared" ref="F75:F77" si="7">E75*D75</f>
        <v>5530140</v>
      </c>
      <c r="G75" s="23"/>
      <c r="H75" s="23"/>
      <c r="I75" s="23"/>
      <c r="J75" s="23"/>
      <c r="K75" s="23"/>
      <c r="L75" s="23"/>
      <c r="M75" s="23"/>
      <c r="N75" s="23"/>
    </row>
    <row r="76" spans="1:14" ht="31.5">
      <c r="A76" s="26">
        <v>7.2</v>
      </c>
      <c r="B76" s="32" t="s">
        <v>175</v>
      </c>
      <c r="C76" s="21" t="s">
        <v>6</v>
      </c>
      <c r="D76" s="24">
        <f>'Details-R0'!G389</f>
        <v>12</v>
      </c>
      <c r="E76" s="81">
        <v>4500</v>
      </c>
      <c r="F76" s="82">
        <f t="shared" si="7"/>
        <v>54000</v>
      </c>
      <c r="G76" s="23"/>
      <c r="H76" s="23"/>
      <c r="I76" s="23"/>
      <c r="J76" s="23"/>
      <c r="K76" s="23"/>
      <c r="L76" s="23"/>
      <c r="M76" s="23"/>
      <c r="N76" s="23"/>
    </row>
    <row r="77" spans="1:14" ht="63">
      <c r="A77" s="26">
        <v>7.3</v>
      </c>
      <c r="B77" s="69" t="s">
        <v>176</v>
      </c>
      <c r="C77" s="21" t="s">
        <v>6</v>
      </c>
      <c r="D77" s="33">
        <v>39</v>
      </c>
      <c r="E77" s="81">
        <f>6000*1.2</f>
        <v>7200</v>
      </c>
      <c r="F77" s="82">
        <f t="shared" si="7"/>
        <v>280800</v>
      </c>
      <c r="G77" s="23"/>
      <c r="H77" s="23"/>
      <c r="I77" s="23"/>
      <c r="J77" s="23"/>
      <c r="K77" s="23"/>
      <c r="L77" s="23"/>
      <c r="M77" s="23"/>
      <c r="N77" s="23"/>
    </row>
    <row r="78" spans="1:14" ht="15.75">
      <c r="A78" s="41">
        <v>8</v>
      </c>
      <c r="B78" s="147" t="s">
        <v>91</v>
      </c>
      <c r="C78" s="136"/>
      <c r="D78" s="136"/>
      <c r="E78" s="137"/>
      <c r="F78" s="83"/>
      <c r="G78" s="23"/>
      <c r="H78" s="23"/>
      <c r="I78" s="23"/>
      <c r="J78" s="23"/>
      <c r="K78" s="23"/>
      <c r="L78" s="23"/>
      <c r="M78" s="23"/>
      <c r="N78" s="23"/>
    </row>
    <row r="79" spans="1:14" ht="31.5">
      <c r="A79" s="64">
        <v>8.1</v>
      </c>
      <c r="B79" s="65" t="s">
        <v>177</v>
      </c>
      <c r="C79" s="64" t="s">
        <v>30</v>
      </c>
      <c r="D79" s="66">
        <f>'Details-R0'!G394</f>
        <v>198</v>
      </c>
      <c r="E79" s="110">
        <v>950</v>
      </c>
      <c r="F79" s="82">
        <f t="shared" ref="F79:F81" si="8">E79*D79</f>
        <v>188100</v>
      </c>
      <c r="G79" s="23"/>
      <c r="H79" s="23"/>
      <c r="I79" s="23"/>
      <c r="J79" s="23"/>
      <c r="K79" s="23"/>
      <c r="L79" s="23"/>
      <c r="M79" s="23"/>
      <c r="N79" s="23"/>
    </row>
    <row r="80" spans="1:14" ht="47.25">
      <c r="A80" s="68">
        <v>8.1999999999999993</v>
      </c>
      <c r="B80" s="69" t="s">
        <v>178</v>
      </c>
      <c r="C80" s="64" t="s">
        <v>30</v>
      </c>
      <c r="D80" s="66">
        <f>'Details-R0'!G400</f>
        <v>507.375</v>
      </c>
      <c r="E80" s="111">
        <v>250</v>
      </c>
      <c r="F80" s="82">
        <f t="shared" si="8"/>
        <v>126843.75</v>
      </c>
      <c r="G80" s="23"/>
      <c r="H80" s="23"/>
      <c r="I80" s="23"/>
      <c r="J80" s="23"/>
      <c r="K80" s="23"/>
      <c r="L80" s="23"/>
      <c r="M80" s="23"/>
      <c r="N80" s="23"/>
    </row>
    <row r="81" spans="1:14" ht="63">
      <c r="A81" s="68">
        <v>8.3000000000000007</v>
      </c>
      <c r="B81" s="32" t="s">
        <v>179</v>
      </c>
      <c r="C81" s="64" t="s">
        <v>30</v>
      </c>
      <c r="D81" s="66">
        <f>'Details-R0'!G405</f>
        <v>717.75</v>
      </c>
      <c r="E81" s="111">
        <v>350</v>
      </c>
      <c r="F81" s="82">
        <f t="shared" si="8"/>
        <v>251212.5</v>
      </c>
      <c r="G81" s="23"/>
      <c r="H81" s="23"/>
      <c r="I81" s="23"/>
      <c r="J81" s="23"/>
      <c r="K81" s="23"/>
      <c r="L81" s="23"/>
      <c r="M81" s="23"/>
      <c r="N81" s="23"/>
    </row>
    <row r="82" spans="1:14" ht="15.75">
      <c r="A82" s="19">
        <v>9</v>
      </c>
      <c r="B82" s="147" t="s">
        <v>180</v>
      </c>
      <c r="C82" s="136"/>
      <c r="D82" s="136"/>
      <c r="E82" s="137"/>
      <c r="F82" s="83"/>
      <c r="G82" s="23"/>
      <c r="H82" s="23"/>
      <c r="I82" s="23"/>
      <c r="J82" s="23"/>
      <c r="K82" s="23"/>
      <c r="L82" s="23"/>
      <c r="M82" s="23"/>
      <c r="N82" s="23"/>
    </row>
    <row r="83" spans="1:14" ht="63">
      <c r="A83" s="68"/>
      <c r="B83" s="69" t="s">
        <v>181</v>
      </c>
      <c r="C83" s="64" t="s">
        <v>30</v>
      </c>
      <c r="D83" s="66">
        <f>'Details-R0'!G412</f>
        <v>83.25</v>
      </c>
      <c r="E83" s="111">
        <v>950</v>
      </c>
      <c r="F83" s="82">
        <f t="shared" ref="F83:F85" si="9">E83*D83</f>
        <v>79087.5</v>
      </c>
      <c r="G83" s="23"/>
      <c r="H83" s="23"/>
      <c r="I83" s="23"/>
      <c r="J83" s="23"/>
      <c r="K83" s="23"/>
      <c r="L83" s="23"/>
      <c r="M83" s="23"/>
      <c r="N83" s="23"/>
    </row>
    <row r="84" spans="1:14" ht="78.75">
      <c r="A84" s="68"/>
      <c r="B84" s="69" t="s">
        <v>182</v>
      </c>
      <c r="C84" s="64" t="s">
        <v>30</v>
      </c>
      <c r="D84" s="64">
        <f>(10*4)+(17*3)</f>
        <v>91</v>
      </c>
      <c r="E84" s="111">
        <v>1800</v>
      </c>
      <c r="F84" s="82">
        <f t="shared" si="9"/>
        <v>163800</v>
      </c>
      <c r="G84" s="23"/>
      <c r="H84" s="23"/>
      <c r="I84" s="23"/>
      <c r="J84" s="23"/>
      <c r="K84" s="23"/>
      <c r="L84" s="23"/>
      <c r="M84" s="23"/>
      <c r="N84" s="23"/>
    </row>
    <row r="85" spans="1:14" ht="63">
      <c r="A85" s="68"/>
      <c r="B85" s="69" t="s">
        <v>183</v>
      </c>
      <c r="C85" s="68" t="s">
        <v>27</v>
      </c>
      <c r="D85" s="68">
        <v>1</v>
      </c>
      <c r="E85" s="111">
        <v>195000</v>
      </c>
      <c r="F85" s="82">
        <f t="shared" si="9"/>
        <v>195000</v>
      </c>
      <c r="G85" s="23"/>
      <c r="H85" s="34">
        <v>137</v>
      </c>
      <c r="I85" s="23">
        <f>H85*70%</f>
        <v>95.899999999999991</v>
      </c>
      <c r="J85" s="23">
        <f>I85*2</f>
        <v>191.79999999999998</v>
      </c>
      <c r="K85" s="23">
        <f>J85*1000</f>
        <v>191799.99999999997</v>
      </c>
      <c r="L85" s="23"/>
      <c r="M85" s="23"/>
      <c r="N85" s="23"/>
    </row>
    <row r="86" spans="1:14" ht="15.75">
      <c r="A86" s="19">
        <v>10</v>
      </c>
      <c r="B86" s="147" t="s">
        <v>93</v>
      </c>
      <c r="C86" s="136"/>
      <c r="D86" s="136"/>
      <c r="E86" s="137"/>
      <c r="F86" s="83"/>
      <c r="G86" s="23"/>
      <c r="H86" s="23"/>
      <c r="I86" s="23"/>
      <c r="J86" s="23"/>
      <c r="K86" s="23"/>
      <c r="L86" s="23"/>
      <c r="M86" s="23"/>
      <c r="N86" s="23"/>
    </row>
    <row r="87" spans="1:14" ht="47.25">
      <c r="A87" s="26">
        <v>10.1</v>
      </c>
      <c r="B87" s="20" t="s">
        <v>184</v>
      </c>
      <c r="C87" s="42" t="s">
        <v>27</v>
      </c>
      <c r="D87" s="43">
        <v>1</v>
      </c>
      <c r="E87" s="87">
        <v>75000</v>
      </c>
      <c r="F87" s="88">
        <f>E87*D87</f>
        <v>75000</v>
      </c>
      <c r="G87" s="23"/>
      <c r="H87" s="23"/>
      <c r="I87" s="23"/>
      <c r="J87" s="23"/>
      <c r="K87" s="23"/>
      <c r="L87" s="23"/>
      <c r="M87" s="23"/>
      <c r="N87" s="23"/>
    </row>
    <row r="88" spans="1:14" ht="15.75">
      <c r="A88" s="19">
        <v>11</v>
      </c>
      <c r="B88" s="147" t="s">
        <v>94</v>
      </c>
      <c r="C88" s="136"/>
      <c r="D88" s="136"/>
      <c r="E88" s="137"/>
      <c r="F88" s="83"/>
      <c r="G88" s="23"/>
      <c r="H88" s="23"/>
      <c r="I88" s="23"/>
      <c r="J88" s="23"/>
      <c r="K88" s="23"/>
      <c r="L88" s="23"/>
      <c r="M88" s="23"/>
      <c r="N88" s="23"/>
    </row>
    <row r="89" spans="1:14" ht="47.25">
      <c r="A89" s="68">
        <v>11.1</v>
      </c>
      <c r="B89" s="65" t="s">
        <v>185</v>
      </c>
      <c r="C89" s="64" t="s">
        <v>30</v>
      </c>
      <c r="D89" s="66">
        <f>'Details-R0'!G422</f>
        <v>486</v>
      </c>
      <c r="E89" s="110">
        <v>250</v>
      </c>
      <c r="F89" s="88">
        <f>E89*D89</f>
        <v>121500</v>
      </c>
      <c r="G89" s="23"/>
      <c r="H89" s="112">
        <v>13392294</v>
      </c>
      <c r="I89" s="23"/>
      <c r="J89" s="23"/>
      <c r="K89" s="23"/>
      <c r="L89" s="23"/>
      <c r="M89" s="23"/>
      <c r="N89" s="23"/>
    </row>
    <row r="90" spans="1:14" ht="19.5">
      <c r="A90" s="19">
        <v>12</v>
      </c>
      <c r="B90" s="22" t="s">
        <v>95</v>
      </c>
      <c r="C90" s="113"/>
      <c r="D90" s="113"/>
      <c r="E90" s="113"/>
      <c r="F90" s="67"/>
      <c r="G90" s="23"/>
      <c r="H90" s="114"/>
      <c r="I90" s="23"/>
      <c r="J90" s="23"/>
      <c r="K90" s="23"/>
      <c r="L90" s="23"/>
      <c r="M90" s="23"/>
      <c r="N90" s="23"/>
    </row>
    <row r="91" spans="1:14" ht="47.25">
      <c r="A91" s="26">
        <v>12.1</v>
      </c>
      <c r="B91" s="69" t="s">
        <v>186</v>
      </c>
      <c r="C91" s="64" t="s">
        <v>30</v>
      </c>
      <c r="D91" s="66">
        <f>'Details-R0'!G426</f>
        <v>144</v>
      </c>
      <c r="E91" s="111">
        <v>650</v>
      </c>
      <c r="F91" s="88">
        <f>E91*D91</f>
        <v>93600</v>
      </c>
      <c r="G91" s="23"/>
      <c r="H91" s="114"/>
      <c r="I91" s="23"/>
      <c r="J91" s="23"/>
      <c r="K91" s="23"/>
      <c r="L91" s="23"/>
      <c r="M91" s="23"/>
      <c r="N91" s="23"/>
    </row>
    <row r="92" spans="1:14" ht="19.5">
      <c r="A92" s="19">
        <v>13</v>
      </c>
      <c r="B92" s="147" t="s">
        <v>187</v>
      </c>
      <c r="C92" s="136"/>
      <c r="D92" s="136"/>
      <c r="E92" s="137"/>
      <c r="F92" s="115"/>
      <c r="G92" s="23"/>
      <c r="H92" s="114"/>
      <c r="I92" s="23"/>
      <c r="J92" s="23"/>
      <c r="K92" s="23"/>
      <c r="L92" s="23"/>
      <c r="M92" s="23"/>
      <c r="N92" s="23"/>
    </row>
    <row r="93" spans="1:14" ht="63">
      <c r="A93" s="26">
        <v>13.1</v>
      </c>
      <c r="B93" s="116" t="s">
        <v>188</v>
      </c>
      <c r="C93" s="42" t="s">
        <v>30</v>
      </c>
      <c r="D93" s="43">
        <f>'Details-R0'!G430</f>
        <v>276</v>
      </c>
      <c r="E93" s="87">
        <v>200</v>
      </c>
      <c r="F93" s="117">
        <f>E93*D93</f>
        <v>55200</v>
      </c>
      <c r="G93" s="23"/>
      <c r="H93" s="114"/>
      <c r="I93" s="23"/>
      <c r="J93" s="23"/>
      <c r="K93" s="23"/>
      <c r="L93" s="23"/>
      <c r="M93" s="23"/>
      <c r="N93" s="23"/>
    </row>
    <row r="94" spans="1:14" ht="19.5">
      <c r="A94" s="19">
        <v>14</v>
      </c>
      <c r="B94" s="147" t="s">
        <v>189</v>
      </c>
      <c r="C94" s="136"/>
      <c r="D94" s="136"/>
      <c r="E94" s="137"/>
      <c r="F94" s="115"/>
      <c r="G94" s="23"/>
      <c r="H94" s="114"/>
      <c r="I94" s="23"/>
      <c r="J94" s="23"/>
      <c r="K94" s="23"/>
      <c r="L94" s="23"/>
      <c r="M94" s="23"/>
      <c r="N94" s="23"/>
    </row>
    <row r="95" spans="1:14" ht="31.5">
      <c r="A95" s="26">
        <v>14.1</v>
      </c>
      <c r="B95" s="32" t="s">
        <v>190</v>
      </c>
      <c r="C95" s="55" t="s">
        <v>27</v>
      </c>
      <c r="D95" s="43">
        <f>'Details-R0'!G434</f>
        <v>1</v>
      </c>
      <c r="E95" s="89">
        <v>20000</v>
      </c>
      <c r="F95" s="117">
        <f>E95*D95</f>
        <v>20000</v>
      </c>
      <c r="G95" s="23"/>
      <c r="H95" s="114"/>
      <c r="I95" s="23"/>
      <c r="J95" s="23"/>
      <c r="K95" s="23"/>
      <c r="L95" s="23"/>
      <c r="M95" s="23"/>
      <c r="N95" s="23"/>
    </row>
    <row r="96" spans="1:14" ht="19.5">
      <c r="A96" s="19">
        <v>15</v>
      </c>
      <c r="B96" s="147" t="s">
        <v>96</v>
      </c>
      <c r="C96" s="136"/>
      <c r="D96" s="136"/>
      <c r="E96" s="137"/>
      <c r="F96" s="83"/>
      <c r="G96" s="23"/>
      <c r="H96" s="114"/>
      <c r="I96" s="23"/>
      <c r="J96" s="23"/>
      <c r="K96" s="23"/>
      <c r="L96" s="23"/>
      <c r="M96" s="23"/>
      <c r="N96" s="23"/>
    </row>
    <row r="97" spans="1:14" ht="78.75">
      <c r="A97" s="26">
        <v>15.1</v>
      </c>
      <c r="B97" s="20" t="s">
        <v>97</v>
      </c>
      <c r="C97" s="21" t="s">
        <v>27</v>
      </c>
      <c r="D97" s="24">
        <f>'Details-R0'!G438</f>
        <v>1</v>
      </c>
      <c r="E97" s="81">
        <v>2541500</v>
      </c>
      <c r="F97" s="82">
        <f>E97*D97</f>
        <v>2541500</v>
      </c>
      <c r="G97" s="23">
        <v>743030</v>
      </c>
      <c r="H97" s="118"/>
      <c r="I97" s="23"/>
      <c r="J97" s="23"/>
      <c r="K97" s="23"/>
      <c r="L97" s="23"/>
      <c r="M97" s="23"/>
      <c r="N97" s="23"/>
    </row>
    <row r="98" spans="1:14" ht="19.5">
      <c r="A98" s="19">
        <v>16</v>
      </c>
      <c r="B98" s="147" t="s">
        <v>191</v>
      </c>
      <c r="C98" s="136"/>
      <c r="D98" s="136"/>
      <c r="E98" s="137"/>
      <c r="F98" s="115"/>
      <c r="G98" s="23"/>
      <c r="H98" s="118"/>
      <c r="I98" s="23"/>
      <c r="J98" s="23"/>
      <c r="K98" s="23"/>
      <c r="L98" s="23"/>
      <c r="M98" s="23"/>
      <c r="N98" s="23"/>
    </row>
    <row r="99" spans="1:14" ht="78.75">
      <c r="A99" s="26">
        <v>16.100000000000001</v>
      </c>
      <c r="B99" s="20" t="s">
        <v>192</v>
      </c>
      <c r="C99" s="39" t="s">
        <v>27</v>
      </c>
      <c r="D99" s="119">
        <f>'Details-R0'!G442</f>
        <v>1</v>
      </c>
      <c r="E99" s="120">
        <v>1799460</v>
      </c>
      <c r="F99" s="121">
        <f>E99*D99</f>
        <v>1799460</v>
      </c>
      <c r="G99" s="23"/>
      <c r="H99" s="118"/>
      <c r="I99" s="23"/>
      <c r="J99" s="23"/>
      <c r="K99" s="23"/>
      <c r="L99" s="23"/>
      <c r="M99" s="23"/>
      <c r="N99" s="23"/>
    </row>
    <row r="100" spans="1:14" ht="19.5">
      <c r="A100" s="19">
        <v>17</v>
      </c>
      <c r="B100" s="147" t="s">
        <v>193</v>
      </c>
      <c r="C100" s="136"/>
      <c r="D100" s="136"/>
      <c r="E100" s="137"/>
      <c r="F100" s="115"/>
      <c r="G100" s="23"/>
      <c r="H100" s="118"/>
      <c r="I100" s="23"/>
      <c r="J100" s="23"/>
      <c r="K100" s="23"/>
      <c r="L100" s="23"/>
      <c r="M100" s="23"/>
      <c r="N100" s="23"/>
    </row>
    <row r="101" spans="1:14" ht="47.25">
      <c r="A101" s="26">
        <v>17.100000000000001</v>
      </c>
      <c r="B101" s="69" t="s">
        <v>194</v>
      </c>
      <c r="C101" s="64" t="s">
        <v>27</v>
      </c>
      <c r="D101" s="66">
        <f>'Details-R0'!G446</f>
        <v>1</v>
      </c>
      <c r="E101" s="111">
        <v>2690170</v>
      </c>
      <c r="F101" s="88">
        <f>E101*D101</f>
        <v>2690170</v>
      </c>
      <c r="G101" s="23"/>
      <c r="H101" s="118"/>
      <c r="I101" s="23"/>
      <c r="J101" s="23"/>
      <c r="K101" s="23"/>
      <c r="L101" s="23"/>
      <c r="M101" s="23"/>
      <c r="N101" s="23"/>
    </row>
    <row r="102" spans="1:14" ht="19.5">
      <c r="A102" s="19">
        <v>19</v>
      </c>
      <c r="B102" s="147" t="s">
        <v>195</v>
      </c>
      <c r="C102" s="136"/>
      <c r="D102" s="136"/>
      <c r="E102" s="137"/>
      <c r="F102" s="115"/>
      <c r="G102" s="23"/>
      <c r="H102" s="118"/>
      <c r="I102" s="23"/>
      <c r="J102" s="23"/>
      <c r="K102" s="23"/>
      <c r="L102" s="23"/>
      <c r="M102" s="23"/>
      <c r="N102" s="23"/>
    </row>
    <row r="103" spans="1:14" ht="47.25">
      <c r="A103" s="26">
        <v>19.100000000000001</v>
      </c>
      <c r="B103" s="69" t="s">
        <v>196</v>
      </c>
      <c r="C103" s="64" t="s">
        <v>27</v>
      </c>
      <c r="D103" s="66">
        <f>'Details-R0'!G454</f>
        <v>1</v>
      </c>
      <c r="E103" s="122">
        <f>375000+235000</f>
        <v>610000</v>
      </c>
      <c r="F103" s="82">
        <f>E103*D103</f>
        <v>610000</v>
      </c>
      <c r="G103" s="23"/>
      <c r="H103" s="118"/>
      <c r="I103" s="23"/>
      <c r="J103" s="23"/>
      <c r="K103" s="23"/>
      <c r="L103" s="23"/>
      <c r="M103" s="23"/>
      <c r="N103" s="23"/>
    </row>
    <row r="104" spans="1:14" ht="19.5">
      <c r="A104" s="19">
        <v>20</v>
      </c>
      <c r="B104" s="147" t="s">
        <v>98</v>
      </c>
      <c r="C104" s="136"/>
      <c r="D104" s="136"/>
      <c r="E104" s="137"/>
      <c r="F104" s="83"/>
      <c r="G104" s="23"/>
      <c r="H104" s="114"/>
      <c r="I104" s="23"/>
      <c r="J104" s="23"/>
      <c r="K104" s="23"/>
      <c r="L104" s="23"/>
      <c r="M104" s="23"/>
      <c r="N104" s="23"/>
    </row>
    <row r="105" spans="1:14" ht="47.25">
      <c r="A105" s="70">
        <v>20.100000000000001</v>
      </c>
      <c r="B105" s="32" t="s">
        <v>197</v>
      </c>
      <c r="C105" s="21" t="s">
        <v>27</v>
      </c>
      <c r="D105" s="24">
        <v>1</v>
      </c>
      <c r="E105" s="81">
        <v>350000</v>
      </c>
      <c r="F105" s="82">
        <f>E105*D105</f>
        <v>350000</v>
      </c>
      <c r="G105" s="23"/>
      <c r="H105" s="114"/>
      <c r="I105" s="23"/>
      <c r="J105" s="23"/>
      <c r="K105" s="23"/>
      <c r="L105" s="23"/>
      <c r="M105" s="23"/>
      <c r="N105" s="23"/>
    </row>
    <row r="106" spans="1:14" ht="19.5">
      <c r="A106" s="19">
        <v>21</v>
      </c>
      <c r="B106" s="148" t="s">
        <v>99</v>
      </c>
      <c r="C106" s="136"/>
      <c r="D106" s="136"/>
      <c r="E106" s="137"/>
      <c r="F106" s="83"/>
      <c r="G106" s="23"/>
      <c r="H106" s="114"/>
      <c r="I106" s="23"/>
      <c r="J106" s="23"/>
      <c r="K106" s="23"/>
      <c r="L106" s="23"/>
      <c r="M106" s="23"/>
      <c r="N106" s="23"/>
    </row>
    <row r="107" spans="1:14" ht="31.5">
      <c r="A107" s="70">
        <v>21.1</v>
      </c>
      <c r="B107" s="32" t="s">
        <v>198</v>
      </c>
      <c r="C107" s="21" t="s">
        <v>27</v>
      </c>
      <c r="D107" s="24">
        <v>1</v>
      </c>
      <c r="E107" s="81">
        <v>80000</v>
      </c>
      <c r="F107" s="82">
        <f>E107*D107</f>
        <v>80000</v>
      </c>
      <c r="G107" s="23"/>
      <c r="H107" s="112">
        <v>8364930</v>
      </c>
      <c r="I107" s="23"/>
      <c r="J107" s="23"/>
      <c r="K107" s="23"/>
      <c r="L107" s="23"/>
      <c r="M107" s="23"/>
      <c r="N107" s="23"/>
    </row>
    <row r="108" spans="1:14" ht="15.75">
      <c r="A108" s="19">
        <v>22</v>
      </c>
      <c r="B108" s="148" t="s">
        <v>100</v>
      </c>
      <c r="C108" s="136"/>
      <c r="D108" s="136"/>
      <c r="E108" s="137"/>
      <c r="F108" s="83"/>
      <c r="G108" s="23"/>
      <c r="H108" s="23"/>
      <c r="I108" s="23"/>
      <c r="J108" s="23"/>
      <c r="K108" s="23"/>
      <c r="L108" s="23"/>
      <c r="M108" s="23"/>
      <c r="N108" s="23"/>
    </row>
    <row r="109" spans="1:14" ht="31.5">
      <c r="A109" s="70">
        <v>22.1</v>
      </c>
      <c r="B109" s="20" t="s">
        <v>101</v>
      </c>
      <c r="C109" s="21" t="s">
        <v>27</v>
      </c>
      <c r="D109" s="33">
        <v>1</v>
      </c>
      <c r="E109" s="81">
        <v>125000</v>
      </c>
      <c r="F109" s="82">
        <f>E109*D109</f>
        <v>125000</v>
      </c>
      <c r="G109" s="23"/>
      <c r="I109" s="23"/>
      <c r="J109" s="23"/>
      <c r="K109" s="23"/>
      <c r="L109" s="23"/>
      <c r="M109" s="23"/>
      <c r="N109" s="23"/>
    </row>
    <row r="110" spans="1:14">
      <c r="A110" s="36"/>
      <c r="B110" s="37"/>
      <c r="C110" s="38"/>
      <c r="D110" s="39"/>
      <c r="E110" s="123"/>
      <c r="F110" s="124"/>
      <c r="G110" s="23"/>
      <c r="H110" s="23"/>
      <c r="I110" s="23"/>
      <c r="J110" s="23"/>
      <c r="K110" s="23"/>
      <c r="L110" s="23"/>
      <c r="M110" s="23"/>
      <c r="N110" s="23"/>
    </row>
    <row r="111" spans="1:14">
      <c r="A111" s="36"/>
      <c r="B111" s="37"/>
      <c r="C111" s="38"/>
      <c r="D111" s="39"/>
      <c r="E111" s="123"/>
      <c r="F111" s="124"/>
      <c r="G111" s="23"/>
      <c r="H111" s="23"/>
      <c r="I111" s="23"/>
      <c r="J111" s="23"/>
      <c r="K111" s="23"/>
      <c r="L111" s="23"/>
      <c r="M111" s="23"/>
      <c r="N111" s="23"/>
    </row>
    <row r="112" spans="1:14" ht="18.75">
      <c r="A112" s="40"/>
      <c r="B112" s="149" t="s">
        <v>45</v>
      </c>
      <c r="C112" s="136"/>
      <c r="D112" s="136"/>
      <c r="E112" s="137"/>
      <c r="F112" s="125">
        <f>SUM(F9:F111)</f>
        <v>21757409.296875</v>
      </c>
      <c r="G112" s="23"/>
      <c r="H112" s="34">
        <v>21757224</v>
      </c>
      <c r="I112" s="23"/>
      <c r="J112" s="23"/>
      <c r="K112" s="23"/>
      <c r="L112" s="23"/>
      <c r="M112" s="23"/>
      <c r="N112" s="23"/>
    </row>
    <row r="113" spans="1:14" ht="18.75">
      <c r="A113" s="40"/>
      <c r="B113" s="150" t="s">
        <v>48</v>
      </c>
      <c r="C113" s="136"/>
      <c r="D113" s="136"/>
      <c r="E113" s="137"/>
      <c r="F113" s="125">
        <f>F112*8%</f>
        <v>1740592.7437500001</v>
      </c>
      <c r="G113" s="23"/>
      <c r="H113" s="23"/>
      <c r="I113" s="23"/>
      <c r="J113" s="23"/>
      <c r="K113" s="23"/>
      <c r="L113" s="23"/>
      <c r="M113" s="23"/>
      <c r="N113" s="23"/>
    </row>
    <row r="114" spans="1:14" ht="18.75">
      <c r="A114" s="40"/>
      <c r="B114" s="150" t="s">
        <v>199</v>
      </c>
      <c r="C114" s="136"/>
      <c r="D114" s="136"/>
      <c r="E114" s="137"/>
      <c r="F114" s="125">
        <f>SUM(F112:F113)</f>
        <v>23498002.040624999</v>
      </c>
      <c r="G114" s="23"/>
      <c r="H114" s="23"/>
      <c r="I114" s="23"/>
      <c r="J114" s="23"/>
      <c r="K114" s="23"/>
      <c r="L114" s="23"/>
      <c r="M114" s="23"/>
      <c r="N114" s="23"/>
    </row>
    <row r="115" spans="1:14" ht="14.25" customHeight="1">
      <c r="A115" s="44"/>
      <c r="B115" s="151" t="s">
        <v>50</v>
      </c>
      <c r="C115" s="136"/>
      <c r="D115" s="136"/>
      <c r="E115" s="136"/>
      <c r="F115" s="137"/>
      <c r="H115" s="126"/>
    </row>
    <row r="116" spans="1:14" ht="14.25" customHeight="1">
      <c r="A116" s="44"/>
      <c r="B116" s="152" t="s">
        <v>52</v>
      </c>
      <c r="C116" s="136"/>
      <c r="D116" s="136"/>
      <c r="E116" s="136"/>
      <c r="F116" s="137"/>
      <c r="H116" s="126"/>
    </row>
    <row r="117" spans="1:14">
      <c r="A117" s="44"/>
      <c r="B117" s="152" t="s">
        <v>200</v>
      </c>
      <c r="C117" s="136"/>
      <c r="D117" s="136"/>
      <c r="E117" s="136"/>
      <c r="F117" s="137"/>
      <c r="H117" s="126"/>
    </row>
    <row r="118" spans="1:14">
      <c r="A118" s="44"/>
      <c r="B118" s="152" t="s">
        <v>53</v>
      </c>
      <c r="C118" s="136"/>
      <c r="D118" s="136"/>
      <c r="E118" s="136"/>
      <c r="F118" s="137"/>
      <c r="H118" s="126"/>
    </row>
    <row r="119" spans="1:14">
      <c r="A119" s="44"/>
      <c r="B119" s="152" t="s">
        <v>201</v>
      </c>
      <c r="C119" s="136"/>
      <c r="D119" s="136"/>
      <c r="E119" s="136"/>
      <c r="F119" s="137"/>
      <c r="H119" s="126"/>
    </row>
    <row r="120" spans="1:14" ht="14.25" customHeight="1">
      <c r="A120" s="48"/>
      <c r="B120" s="153" t="s">
        <v>57</v>
      </c>
      <c r="C120" s="136"/>
      <c r="D120" s="136"/>
      <c r="E120" s="136"/>
      <c r="F120" s="137"/>
      <c r="H120" s="126"/>
    </row>
    <row r="121" spans="1:14" ht="14.25" customHeight="1">
      <c r="A121" s="50"/>
      <c r="B121" s="154" t="s">
        <v>58</v>
      </c>
      <c r="C121" s="136"/>
      <c r="D121" s="136"/>
      <c r="E121" s="136"/>
      <c r="F121" s="137"/>
      <c r="H121" s="126"/>
    </row>
    <row r="122" spans="1:14" ht="14.25" customHeight="1">
      <c r="A122" s="50"/>
      <c r="B122" s="154" t="s">
        <v>60</v>
      </c>
      <c r="C122" s="136"/>
      <c r="D122" s="136"/>
      <c r="E122" s="136"/>
      <c r="F122" s="137"/>
      <c r="G122" s="51"/>
      <c r="H122" s="127"/>
      <c r="I122" s="51"/>
      <c r="J122" s="51"/>
      <c r="K122" s="51"/>
      <c r="L122" s="51"/>
      <c r="M122" s="51"/>
      <c r="N122" s="51"/>
    </row>
    <row r="123" spans="1:14" ht="14.25" customHeight="1">
      <c r="A123" s="50"/>
      <c r="B123" s="154" t="s">
        <v>62</v>
      </c>
      <c r="C123" s="136"/>
      <c r="D123" s="136"/>
      <c r="E123" s="136"/>
      <c r="F123" s="137"/>
      <c r="G123" s="51"/>
      <c r="H123" s="127"/>
      <c r="I123" s="51"/>
      <c r="J123" s="51"/>
      <c r="K123" s="51"/>
      <c r="L123" s="51"/>
      <c r="M123" s="51"/>
      <c r="N123" s="51"/>
    </row>
    <row r="124" spans="1:14" ht="14.25" customHeight="1">
      <c r="A124" s="50"/>
      <c r="B124" s="154" t="s">
        <v>64</v>
      </c>
      <c r="C124" s="136"/>
      <c r="D124" s="136"/>
      <c r="E124" s="136"/>
      <c r="F124" s="137"/>
      <c r="G124" s="51"/>
      <c r="H124" s="127"/>
      <c r="I124" s="51"/>
      <c r="J124" s="51"/>
      <c r="K124" s="51"/>
      <c r="L124" s="51"/>
      <c r="M124" s="51"/>
      <c r="N124" s="51"/>
    </row>
    <row r="125" spans="1:14" ht="14.25" customHeight="1">
      <c r="A125" s="50"/>
      <c r="B125" s="154" t="s">
        <v>65</v>
      </c>
      <c r="C125" s="136"/>
      <c r="D125" s="136"/>
      <c r="E125" s="136"/>
      <c r="F125" s="137"/>
      <c r="G125" s="51"/>
      <c r="H125" s="127"/>
      <c r="I125" s="51"/>
      <c r="J125" s="51"/>
      <c r="K125" s="51"/>
      <c r="L125" s="51"/>
      <c r="M125" s="51"/>
      <c r="N125" s="51"/>
    </row>
    <row r="126" spans="1:14" ht="14.25" customHeight="1">
      <c r="A126" s="50"/>
      <c r="B126" s="154" t="s">
        <v>66</v>
      </c>
      <c r="C126" s="136"/>
      <c r="D126" s="136"/>
      <c r="E126" s="136"/>
      <c r="F126" s="137"/>
      <c r="G126" s="51"/>
      <c r="H126" s="127"/>
      <c r="I126" s="51"/>
      <c r="J126" s="51"/>
      <c r="K126" s="51"/>
      <c r="L126" s="51"/>
      <c r="M126" s="51"/>
      <c r="N126" s="51"/>
    </row>
    <row r="127" spans="1:14" ht="14.25" customHeight="1">
      <c r="A127" s="50"/>
      <c r="B127" s="154" t="s">
        <v>68</v>
      </c>
      <c r="C127" s="136"/>
      <c r="D127" s="136"/>
      <c r="E127" s="136"/>
      <c r="F127" s="137"/>
      <c r="G127" s="51"/>
      <c r="H127" s="127"/>
      <c r="I127" s="51"/>
      <c r="J127" s="51"/>
      <c r="K127" s="51"/>
      <c r="L127" s="51"/>
      <c r="M127" s="51"/>
      <c r="N127" s="51"/>
    </row>
    <row r="128" spans="1:14" ht="14.25" customHeight="1">
      <c r="A128" s="50"/>
      <c r="B128" s="154" t="s">
        <v>70</v>
      </c>
      <c r="C128" s="136"/>
      <c r="D128" s="136"/>
      <c r="E128" s="136"/>
      <c r="F128" s="137"/>
      <c r="G128" s="51"/>
      <c r="H128" s="127"/>
      <c r="I128" s="51"/>
      <c r="J128" s="51"/>
      <c r="K128" s="51"/>
      <c r="L128" s="51"/>
      <c r="M128" s="51"/>
      <c r="N128" s="51"/>
    </row>
    <row r="129" spans="1:14" ht="14.25" customHeight="1">
      <c r="A129" s="50"/>
      <c r="B129" s="154" t="s">
        <v>72</v>
      </c>
      <c r="C129" s="136"/>
      <c r="D129" s="136"/>
      <c r="E129" s="136"/>
      <c r="F129" s="137"/>
      <c r="G129" s="51"/>
      <c r="H129" s="127"/>
      <c r="I129" s="51"/>
      <c r="J129" s="51"/>
      <c r="K129" s="51"/>
      <c r="L129" s="51"/>
      <c r="M129" s="51"/>
      <c r="N129" s="51"/>
    </row>
    <row r="130" spans="1:14" ht="14.25" customHeight="1">
      <c r="A130" s="48"/>
      <c r="B130" s="153" t="s">
        <v>73</v>
      </c>
      <c r="C130" s="136"/>
      <c r="D130" s="136"/>
      <c r="E130" s="136"/>
      <c r="F130" s="137"/>
      <c r="H130" s="126"/>
    </row>
    <row r="131" spans="1:14" ht="14.25" customHeight="1">
      <c r="A131" s="50"/>
      <c r="B131" s="154" t="s">
        <v>74</v>
      </c>
      <c r="C131" s="136"/>
      <c r="D131" s="136"/>
      <c r="E131" s="136"/>
      <c r="F131" s="137"/>
      <c r="H131" s="126"/>
    </row>
    <row r="132" spans="1:14" ht="14.25" customHeight="1">
      <c r="A132" s="50"/>
      <c r="B132" s="154" t="s">
        <v>75</v>
      </c>
      <c r="C132" s="136"/>
      <c r="D132" s="136"/>
      <c r="E132" s="136"/>
      <c r="F132" s="137"/>
      <c r="G132" s="51"/>
      <c r="H132" s="127"/>
      <c r="I132" s="51"/>
      <c r="J132" s="51"/>
      <c r="K132" s="51"/>
      <c r="L132" s="51"/>
      <c r="M132" s="51"/>
      <c r="N132" s="51"/>
    </row>
    <row r="133" spans="1:14" ht="14.25" customHeight="1">
      <c r="A133" s="50"/>
      <c r="B133" s="154" t="s">
        <v>77</v>
      </c>
      <c r="C133" s="136"/>
      <c r="D133" s="136"/>
      <c r="E133" s="136"/>
      <c r="F133" s="137"/>
      <c r="G133" s="51"/>
      <c r="H133" s="127"/>
      <c r="I133" s="51"/>
      <c r="J133" s="51"/>
      <c r="K133" s="51"/>
      <c r="L133" s="51"/>
      <c r="M133" s="51"/>
      <c r="N133" s="51"/>
    </row>
    <row r="134" spans="1:14" ht="14.25" customHeight="1">
      <c r="A134" s="28"/>
      <c r="B134" s="29"/>
      <c r="E134" s="128"/>
      <c r="F134" s="129"/>
      <c r="H134" s="126"/>
    </row>
    <row r="135" spans="1:14" ht="14.25" customHeight="1">
      <c r="A135" s="28"/>
      <c r="B135" s="29"/>
      <c r="E135" s="128"/>
      <c r="F135" s="129"/>
      <c r="H135" s="126"/>
    </row>
    <row r="136" spans="1:14" ht="14.25" customHeight="1">
      <c r="A136" s="28"/>
      <c r="B136" s="29"/>
      <c r="E136" s="128"/>
      <c r="F136" s="129"/>
      <c r="H136" s="126"/>
    </row>
    <row r="137" spans="1:14" ht="14.25" customHeight="1">
      <c r="A137" s="28"/>
      <c r="B137" s="29"/>
      <c r="E137" s="128"/>
      <c r="F137" s="129"/>
      <c r="H137" s="126"/>
    </row>
    <row r="138" spans="1:14" ht="14.25" customHeight="1">
      <c r="A138" s="28"/>
      <c r="B138" s="29"/>
      <c r="E138" s="128"/>
      <c r="F138" s="129"/>
      <c r="H138" s="126"/>
    </row>
    <row r="139" spans="1:14" ht="14.25" customHeight="1">
      <c r="A139" s="28"/>
      <c r="B139" s="29"/>
      <c r="E139" s="128"/>
      <c r="F139" s="129"/>
      <c r="H139" s="126"/>
    </row>
    <row r="140" spans="1:14" ht="14.25" customHeight="1">
      <c r="A140" s="28"/>
      <c r="B140" s="29"/>
      <c r="E140" s="128"/>
      <c r="F140" s="129"/>
      <c r="H140" s="126"/>
    </row>
    <row r="141" spans="1:14" ht="14.25" customHeight="1">
      <c r="A141" s="28"/>
      <c r="B141" s="29"/>
      <c r="E141" s="128"/>
      <c r="F141" s="129"/>
      <c r="H141" s="126"/>
    </row>
    <row r="142" spans="1:14" ht="14.25" customHeight="1">
      <c r="A142" s="28"/>
      <c r="B142" s="29"/>
      <c r="E142" s="128"/>
      <c r="F142" s="129"/>
      <c r="H142" s="126"/>
    </row>
    <row r="143" spans="1:14" ht="14.25" customHeight="1">
      <c r="A143" s="28"/>
      <c r="B143" s="29"/>
      <c r="E143" s="128"/>
      <c r="F143" s="129"/>
      <c r="H143" s="126"/>
    </row>
    <row r="144" spans="1:14" ht="14.25" customHeight="1">
      <c r="A144" s="28"/>
      <c r="B144" s="29"/>
      <c r="E144" s="128"/>
      <c r="F144" s="129"/>
      <c r="H144" s="126"/>
    </row>
    <row r="145" spans="1:8" ht="14.25" customHeight="1">
      <c r="A145" s="28"/>
      <c r="B145" s="29"/>
      <c r="E145" s="128"/>
      <c r="F145" s="129"/>
      <c r="H145" s="126"/>
    </row>
    <row r="146" spans="1:8" ht="14.25" customHeight="1">
      <c r="A146" s="28"/>
      <c r="B146" s="29"/>
      <c r="E146" s="128"/>
      <c r="F146" s="129"/>
      <c r="H146" s="126"/>
    </row>
    <row r="147" spans="1:8" ht="14.25" customHeight="1">
      <c r="A147" s="28"/>
      <c r="B147" s="29"/>
      <c r="E147" s="128"/>
      <c r="F147" s="129"/>
      <c r="H147" s="126"/>
    </row>
    <row r="148" spans="1:8" ht="14.25" customHeight="1">
      <c r="A148" s="28"/>
      <c r="B148" s="29"/>
      <c r="E148" s="128"/>
      <c r="F148" s="129"/>
      <c r="H148" s="126"/>
    </row>
    <row r="149" spans="1:8" ht="14.25" customHeight="1">
      <c r="A149" s="28"/>
      <c r="B149" s="29"/>
      <c r="E149" s="128"/>
      <c r="F149" s="129"/>
      <c r="H149" s="126"/>
    </row>
    <row r="150" spans="1:8" ht="14.25" customHeight="1">
      <c r="A150" s="28"/>
      <c r="B150" s="29"/>
      <c r="E150" s="128"/>
      <c r="F150" s="129"/>
      <c r="H150" s="126"/>
    </row>
    <row r="151" spans="1:8" ht="14.25" customHeight="1">
      <c r="A151" s="28"/>
      <c r="B151" s="29"/>
      <c r="E151" s="128"/>
      <c r="F151" s="129"/>
      <c r="H151" s="126"/>
    </row>
    <row r="152" spans="1:8" ht="14.25" customHeight="1">
      <c r="A152" s="28"/>
      <c r="B152" s="29"/>
      <c r="E152" s="128"/>
      <c r="F152" s="129"/>
      <c r="H152" s="126"/>
    </row>
    <row r="153" spans="1:8" ht="14.25" customHeight="1">
      <c r="A153" s="28"/>
      <c r="B153" s="29"/>
      <c r="E153" s="128"/>
      <c r="F153" s="129"/>
      <c r="H153" s="126"/>
    </row>
    <row r="154" spans="1:8" ht="14.25" customHeight="1">
      <c r="A154" s="28"/>
      <c r="B154" s="29"/>
      <c r="E154" s="128"/>
      <c r="F154" s="129"/>
      <c r="H154" s="126"/>
    </row>
    <row r="155" spans="1:8" ht="14.25" customHeight="1">
      <c r="A155" s="28"/>
      <c r="B155" s="29"/>
      <c r="E155" s="128"/>
      <c r="F155" s="129"/>
      <c r="H155" s="126"/>
    </row>
    <row r="156" spans="1:8" ht="14.25" customHeight="1">
      <c r="A156" s="28"/>
      <c r="B156" s="29"/>
      <c r="E156" s="128"/>
      <c r="F156" s="129"/>
      <c r="H156" s="126"/>
    </row>
    <row r="157" spans="1:8" ht="14.25" customHeight="1">
      <c r="A157" s="28"/>
      <c r="B157" s="29"/>
      <c r="E157" s="128"/>
      <c r="F157" s="129"/>
      <c r="H157" s="126"/>
    </row>
    <row r="158" spans="1:8" ht="14.25" customHeight="1">
      <c r="A158" s="28"/>
      <c r="B158" s="29"/>
      <c r="E158" s="128"/>
      <c r="F158" s="129"/>
      <c r="H158" s="126"/>
    </row>
    <row r="159" spans="1:8" ht="14.25" customHeight="1">
      <c r="A159" s="28"/>
      <c r="B159" s="29"/>
      <c r="E159" s="128"/>
      <c r="F159" s="129"/>
      <c r="H159" s="126"/>
    </row>
    <row r="160" spans="1:8" ht="14.25" customHeight="1">
      <c r="A160" s="28"/>
      <c r="B160" s="29"/>
      <c r="E160" s="128"/>
      <c r="F160" s="129"/>
      <c r="H160" s="126"/>
    </row>
    <row r="161" spans="1:8" ht="14.25" customHeight="1">
      <c r="A161" s="28"/>
      <c r="B161" s="29"/>
      <c r="E161" s="128"/>
      <c r="F161" s="129"/>
      <c r="H161" s="126"/>
    </row>
    <row r="162" spans="1:8" ht="14.25" customHeight="1">
      <c r="A162" s="28"/>
      <c r="B162" s="29"/>
      <c r="E162" s="128"/>
      <c r="F162" s="129"/>
      <c r="H162" s="126"/>
    </row>
    <row r="163" spans="1:8" ht="14.25" customHeight="1">
      <c r="A163" s="28"/>
      <c r="B163" s="29"/>
      <c r="E163" s="128"/>
      <c r="F163" s="129"/>
      <c r="H163" s="126"/>
    </row>
    <row r="164" spans="1:8" ht="14.25" customHeight="1">
      <c r="A164" s="28"/>
      <c r="B164" s="29"/>
      <c r="E164" s="128"/>
      <c r="F164" s="129"/>
      <c r="H164" s="126"/>
    </row>
    <row r="165" spans="1:8" ht="14.25" customHeight="1">
      <c r="A165" s="28"/>
      <c r="B165" s="29"/>
      <c r="E165" s="128"/>
      <c r="F165" s="129"/>
      <c r="H165" s="126"/>
    </row>
    <row r="166" spans="1:8" ht="14.25" customHeight="1">
      <c r="A166" s="28"/>
      <c r="B166" s="29"/>
      <c r="E166" s="128"/>
      <c r="F166" s="129"/>
      <c r="H166" s="126"/>
    </row>
    <row r="167" spans="1:8" ht="14.25" customHeight="1">
      <c r="A167" s="28"/>
      <c r="B167" s="29"/>
      <c r="E167" s="128"/>
      <c r="F167" s="129"/>
      <c r="H167" s="126"/>
    </row>
    <row r="168" spans="1:8" ht="14.25" customHeight="1">
      <c r="A168" s="28"/>
      <c r="B168" s="29"/>
      <c r="E168" s="128"/>
      <c r="F168" s="129"/>
      <c r="H168" s="126"/>
    </row>
    <row r="169" spans="1:8" ht="14.25" customHeight="1">
      <c r="A169" s="28"/>
      <c r="B169" s="29"/>
      <c r="E169" s="128"/>
      <c r="F169" s="129"/>
      <c r="H169" s="126"/>
    </row>
    <row r="170" spans="1:8" ht="14.25" customHeight="1">
      <c r="A170" s="28"/>
      <c r="B170" s="29"/>
      <c r="E170" s="128"/>
      <c r="F170" s="129"/>
      <c r="H170" s="126"/>
    </row>
    <row r="171" spans="1:8" ht="14.25" customHeight="1">
      <c r="A171" s="28"/>
      <c r="B171" s="29"/>
      <c r="E171" s="128"/>
      <c r="F171" s="129"/>
      <c r="H171" s="126"/>
    </row>
    <row r="172" spans="1:8" ht="14.25" customHeight="1">
      <c r="A172" s="28"/>
      <c r="B172" s="29"/>
      <c r="E172" s="128"/>
      <c r="F172" s="129"/>
      <c r="H172" s="126"/>
    </row>
    <row r="173" spans="1:8" ht="14.25" customHeight="1">
      <c r="A173" s="28"/>
      <c r="B173" s="29"/>
      <c r="E173" s="128"/>
      <c r="F173" s="129"/>
      <c r="H173" s="126"/>
    </row>
    <row r="174" spans="1:8" ht="14.25" customHeight="1">
      <c r="A174" s="28"/>
      <c r="B174" s="29"/>
      <c r="E174" s="128"/>
      <c r="F174" s="129"/>
      <c r="H174" s="126"/>
    </row>
    <row r="175" spans="1:8" ht="14.25" customHeight="1">
      <c r="A175" s="28"/>
      <c r="B175" s="29"/>
      <c r="E175" s="128"/>
      <c r="F175" s="129"/>
      <c r="H175" s="126"/>
    </row>
    <row r="176" spans="1:8" ht="14.25" customHeight="1">
      <c r="A176" s="28"/>
      <c r="B176" s="29"/>
      <c r="E176" s="128"/>
      <c r="F176" s="129"/>
      <c r="H176" s="126"/>
    </row>
    <row r="177" spans="1:8" ht="14.25" customHeight="1">
      <c r="A177" s="28"/>
      <c r="B177" s="29"/>
      <c r="E177" s="128"/>
      <c r="F177" s="129"/>
      <c r="H177" s="126"/>
    </row>
    <row r="178" spans="1:8" ht="14.25" customHeight="1">
      <c r="A178" s="28"/>
      <c r="B178" s="29"/>
      <c r="E178" s="128"/>
      <c r="F178" s="129"/>
      <c r="H178" s="126"/>
    </row>
    <row r="179" spans="1:8" ht="14.25" customHeight="1">
      <c r="A179" s="28"/>
      <c r="B179" s="29"/>
      <c r="E179" s="128"/>
      <c r="F179" s="129"/>
      <c r="H179" s="126"/>
    </row>
    <row r="180" spans="1:8" ht="14.25" customHeight="1">
      <c r="A180" s="28"/>
      <c r="B180" s="29"/>
      <c r="E180" s="128"/>
      <c r="F180" s="129"/>
      <c r="H180" s="126"/>
    </row>
    <row r="181" spans="1:8" ht="14.25" customHeight="1">
      <c r="A181" s="28"/>
      <c r="B181" s="29"/>
      <c r="E181" s="128"/>
      <c r="F181" s="129"/>
      <c r="H181" s="126"/>
    </row>
    <row r="182" spans="1:8" ht="14.25" customHeight="1">
      <c r="A182" s="28"/>
      <c r="B182" s="29"/>
      <c r="E182" s="128"/>
      <c r="F182" s="129"/>
      <c r="H182" s="126"/>
    </row>
    <row r="183" spans="1:8" ht="14.25" customHeight="1">
      <c r="A183" s="28"/>
      <c r="B183" s="29"/>
      <c r="E183" s="128"/>
      <c r="F183" s="129"/>
      <c r="H183" s="126"/>
    </row>
    <row r="184" spans="1:8" ht="14.25" customHeight="1">
      <c r="A184" s="28"/>
      <c r="B184" s="29"/>
      <c r="E184" s="128"/>
      <c r="F184" s="129"/>
      <c r="H184" s="126"/>
    </row>
    <row r="185" spans="1:8" ht="14.25" customHeight="1">
      <c r="A185" s="28"/>
      <c r="B185" s="29"/>
      <c r="E185" s="128"/>
      <c r="F185" s="129"/>
      <c r="H185" s="126"/>
    </row>
    <row r="186" spans="1:8" ht="14.25" customHeight="1">
      <c r="A186" s="28"/>
      <c r="B186" s="29"/>
      <c r="E186" s="128"/>
      <c r="F186" s="129"/>
      <c r="H186" s="126"/>
    </row>
    <row r="187" spans="1:8" ht="14.25" customHeight="1">
      <c r="A187" s="28"/>
      <c r="B187" s="29"/>
      <c r="E187" s="128"/>
      <c r="F187" s="129"/>
      <c r="H187" s="126"/>
    </row>
    <row r="188" spans="1:8" ht="14.25" customHeight="1">
      <c r="A188" s="28"/>
      <c r="B188" s="29"/>
      <c r="E188" s="128"/>
      <c r="F188" s="129"/>
      <c r="H188" s="126"/>
    </row>
    <row r="189" spans="1:8" ht="14.25" customHeight="1">
      <c r="A189" s="28"/>
      <c r="B189" s="29"/>
      <c r="E189" s="128"/>
      <c r="F189" s="129"/>
      <c r="H189" s="126"/>
    </row>
    <row r="190" spans="1:8" ht="14.25" customHeight="1">
      <c r="A190" s="28"/>
      <c r="B190" s="29"/>
      <c r="E190" s="128"/>
      <c r="F190" s="129"/>
      <c r="H190" s="126"/>
    </row>
    <row r="191" spans="1:8" ht="14.25" customHeight="1">
      <c r="A191" s="28"/>
      <c r="B191" s="29"/>
      <c r="E191" s="128"/>
      <c r="F191" s="129"/>
      <c r="H191" s="126"/>
    </row>
    <row r="192" spans="1:8" ht="14.25" customHeight="1">
      <c r="A192" s="28"/>
      <c r="B192" s="29"/>
      <c r="E192" s="128"/>
      <c r="F192" s="129"/>
      <c r="H192" s="126"/>
    </row>
    <row r="193" spans="1:8" ht="14.25" customHeight="1">
      <c r="A193" s="28"/>
      <c r="B193" s="29"/>
      <c r="E193" s="128"/>
      <c r="F193" s="129"/>
      <c r="H193" s="126"/>
    </row>
    <row r="194" spans="1:8" ht="14.25" customHeight="1">
      <c r="A194" s="28"/>
      <c r="B194" s="29"/>
      <c r="E194" s="128"/>
      <c r="F194" s="129"/>
      <c r="H194" s="126"/>
    </row>
    <row r="195" spans="1:8" ht="14.25" customHeight="1">
      <c r="A195" s="28"/>
      <c r="B195" s="29"/>
      <c r="E195" s="128"/>
      <c r="F195" s="129"/>
      <c r="H195" s="126"/>
    </row>
    <row r="196" spans="1:8" ht="14.25" customHeight="1">
      <c r="A196" s="28"/>
      <c r="B196" s="29"/>
      <c r="E196" s="128"/>
      <c r="F196" s="129"/>
      <c r="H196" s="126"/>
    </row>
    <row r="197" spans="1:8" ht="14.25" customHeight="1">
      <c r="A197" s="28"/>
      <c r="B197" s="29"/>
      <c r="E197" s="128"/>
      <c r="F197" s="129"/>
      <c r="H197" s="126"/>
    </row>
    <row r="198" spans="1:8" ht="14.25" customHeight="1">
      <c r="A198" s="28"/>
      <c r="B198" s="29"/>
      <c r="E198" s="128"/>
      <c r="F198" s="129"/>
      <c r="H198" s="126"/>
    </row>
    <row r="199" spans="1:8" ht="14.25" customHeight="1">
      <c r="A199" s="28"/>
      <c r="B199" s="29"/>
      <c r="E199" s="128"/>
      <c r="F199" s="129"/>
      <c r="H199" s="126"/>
    </row>
    <row r="200" spans="1:8" ht="14.25" customHeight="1">
      <c r="A200" s="28"/>
      <c r="B200" s="29"/>
      <c r="E200" s="128"/>
      <c r="F200" s="129"/>
      <c r="H200" s="126"/>
    </row>
    <row r="201" spans="1:8" ht="14.25" customHeight="1">
      <c r="A201" s="28"/>
      <c r="B201" s="29"/>
      <c r="E201" s="128"/>
      <c r="F201" s="129"/>
      <c r="H201" s="126"/>
    </row>
    <row r="202" spans="1:8" ht="14.25" customHeight="1">
      <c r="A202" s="28"/>
      <c r="B202" s="29"/>
      <c r="E202" s="128"/>
      <c r="F202" s="129"/>
      <c r="H202" s="126"/>
    </row>
    <row r="203" spans="1:8" ht="14.25" customHeight="1">
      <c r="A203" s="28"/>
      <c r="B203" s="29"/>
      <c r="E203" s="128"/>
      <c r="F203" s="129"/>
      <c r="H203" s="126"/>
    </row>
    <row r="204" spans="1:8" ht="14.25" customHeight="1">
      <c r="A204" s="28"/>
      <c r="B204" s="29"/>
      <c r="E204" s="128"/>
      <c r="F204" s="129"/>
      <c r="H204" s="126"/>
    </row>
    <row r="205" spans="1:8" ht="14.25" customHeight="1">
      <c r="A205" s="28"/>
      <c r="B205" s="29"/>
      <c r="E205" s="128"/>
      <c r="F205" s="129"/>
      <c r="H205" s="126"/>
    </row>
    <row r="206" spans="1:8" ht="14.25" customHeight="1">
      <c r="A206" s="28"/>
      <c r="B206" s="29"/>
      <c r="E206" s="128"/>
      <c r="F206" s="129"/>
      <c r="H206" s="126"/>
    </row>
    <row r="207" spans="1:8" ht="14.25" customHeight="1">
      <c r="A207" s="28"/>
      <c r="B207" s="29"/>
      <c r="E207" s="128"/>
      <c r="F207" s="129"/>
      <c r="H207" s="126"/>
    </row>
    <row r="208" spans="1:8" ht="14.25" customHeight="1">
      <c r="A208" s="28"/>
      <c r="B208" s="29"/>
      <c r="E208" s="128"/>
      <c r="F208" s="129"/>
      <c r="H208" s="126"/>
    </row>
    <row r="209" spans="1:8" ht="14.25" customHeight="1">
      <c r="A209" s="28"/>
      <c r="B209" s="29"/>
      <c r="E209" s="128"/>
      <c r="F209" s="129"/>
      <c r="H209" s="126"/>
    </row>
    <row r="210" spans="1:8" ht="14.25" customHeight="1">
      <c r="A210" s="28"/>
      <c r="B210" s="29"/>
      <c r="E210" s="128"/>
      <c r="F210" s="129"/>
      <c r="H210" s="126"/>
    </row>
    <row r="211" spans="1:8" ht="14.25" customHeight="1">
      <c r="A211" s="28"/>
      <c r="B211" s="29"/>
      <c r="E211" s="128"/>
      <c r="F211" s="129"/>
      <c r="H211" s="126"/>
    </row>
    <row r="212" spans="1:8" ht="14.25" customHeight="1">
      <c r="A212" s="28"/>
      <c r="B212" s="29"/>
      <c r="E212" s="128"/>
      <c r="F212" s="129"/>
      <c r="H212" s="126"/>
    </row>
    <row r="213" spans="1:8" ht="14.25" customHeight="1">
      <c r="A213" s="28"/>
      <c r="B213" s="29"/>
      <c r="E213" s="128"/>
      <c r="F213" s="129"/>
      <c r="H213" s="126"/>
    </row>
    <row r="214" spans="1:8" ht="14.25" customHeight="1">
      <c r="A214" s="28"/>
      <c r="B214" s="29"/>
      <c r="E214" s="128"/>
      <c r="F214" s="129"/>
      <c r="H214" s="126"/>
    </row>
    <row r="215" spans="1:8" ht="14.25" customHeight="1">
      <c r="A215" s="28"/>
      <c r="B215" s="29"/>
      <c r="E215" s="128"/>
      <c r="F215" s="129"/>
      <c r="H215" s="126"/>
    </row>
    <row r="216" spans="1:8" ht="14.25" customHeight="1">
      <c r="A216" s="28"/>
      <c r="B216" s="29"/>
      <c r="E216" s="128"/>
      <c r="F216" s="129"/>
      <c r="H216" s="126"/>
    </row>
    <row r="217" spans="1:8" ht="14.25" customHeight="1">
      <c r="A217" s="28"/>
      <c r="B217" s="29"/>
      <c r="E217" s="128"/>
      <c r="F217" s="129"/>
      <c r="H217" s="126"/>
    </row>
    <row r="218" spans="1:8" ht="14.25" customHeight="1">
      <c r="A218" s="28"/>
      <c r="B218" s="29"/>
      <c r="E218" s="128"/>
      <c r="F218" s="129"/>
      <c r="H218" s="126"/>
    </row>
    <row r="219" spans="1:8" ht="14.25" customHeight="1">
      <c r="A219" s="28"/>
      <c r="B219" s="29"/>
      <c r="E219" s="128"/>
      <c r="F219" s="129"/>
      <c r="H219" s="126"/>
    </row>
    <row r="220" spans="1:8" ht="14.25" customHeight="1">
      <c r="A220" s="28"/>
      <c r="B220" s="29"/>
      <c r="E220" s="128"/>
      <c r="F220" s="129"/>
      <c r="H220" s="126"/>
    </row>
    <row r="221" spans="1:8" ht="14.25" customHeight="1">
      <c r="A221" s="28"/>
      <c r="B221" s="29"/>
      <c r="E221" s="128"/>
      <c r="F221" s="129"/>
      <c r="H221" s="126"/>
    </row>
    <row r="222" spans="1:8" ht="14.25" customHeight="1">
      <c r="A222" s="28"/>
      <c r="B222" s="29"/>
      <c r="E222" s="128"/>
      <c r="F222" s="129"/>
      <c r="H222" s="126"/>
    </row>
    <row r="223" spans="1:8" ht="14.25" customHeight="1">
      <c r="A223" s="28"/>
      <c r="B223" s="29"/>
      <c r="E223" s="128"/>
      <c r="F223" s="129"/>
      <c r="H223" s="126"/>
    </row>
    <row r="224" spans="1:8" ht="14.25" customHeight="1">
      <c r="A224" s="28"/>
      <c r="B224" s="29"/>
      <c r="E224" s="128"/>
      <c r="F224" s="129"/>
      <c r="H224" s="126"/>
    </row>
    <row r="225" spans="1:8" ht="14.25" customHeight="1">
      <c r="A225" s="28"/>
      <c r="B225" s="29"/>
      <c r="E225" s="128"/>
      <c r="F225" s="129"/>
      <c r="H225" s="126"/>
    </row>
    <row r="226" spans="1:8" ht="14.25" customHeight="1">
      <c r="A226" s="28"/>
      <c r="B226" s="29"/>
      <c r="E226" s="128"/>
      <c r="F226" s="129"/>
      <c r="H226" s="126"/>
    </row>
    <row r="227" spans="1:8" ht="14.25" customHeight="1">
      <c r="A227" s="28"/>
      <c r="B227" s="29"/>
      <c r="E227" s="128"/>
      <c r="F227" s="129"/>
      <c r="H227" s="126"/>
    </row>
    <row r="228" spans="1:8" ht="14.25" customHeight="1">
      <c r="A228" s="28"/>
      <c r="B228" s="29"/>
      <c r="E228" s="128"/>
      <c r="F228" s="129"/>
      <c r="H228" s="126"/>
    </row>
    <row r="229" spans="1:8" ht="14.25" customHeight="1">
      <c r="A229" s="28"/>
      <c r="B229" s="29"/>
      <c r="E229" s="128"/>
      <c r="F229" s="129"/>
      <c r="H229" s="126"/>
    </row>
    <row r="230" spans="1:8" ht="14.25" customHeight="1">
      <c r="A230" s="28"/>
      <c r="B230" s="29"/>
      <c r="E230" s="128"/>
      <c r="F230" s="129"/>
      <c r="H230" s="126"/>
    </row>
    <row r="231" spans="1:8" ht="14.25" customHeight="1">
      <c r="A231" s="28"/>
      <c r="B231" s="29"/>
      <c r="E231" s="128"/>
      <c r="F231" s="129"/>
      <c r="H231" s="126"/>
    </row>
    <row r="232" spans="1:8" ht="14.25" customHeight="1">
      <c r="A232" s="28"/>
      <c r="B232" s="29"/>
      <c r="E232" s="128"/>
      <c r="F232" s="129"/>
      <c r="H232" s="126"/>
    </row>
    <row r="233" spans="1:8" ht="14.25" customHeight="1">
      <c r="A233" s="28"/>
      <c r="B233" s="29"/>
      <c r="E233" s="128"/>
      <c r="F233" s="129"/>
      <c r="H233" s="126"/>
    </row>
    <row r="234" spans="1:8" ht="14.25" customHeight="1">
      <c r="A234" s="28"/>
      <c r="B234" s="29"/>
      <c r="E234" s="128"/>
      <c r="F234" s="129"/>
      <c r="H234" s="126"/>
    </row>
    <row r="235" spans="1:8" ht="14.25" customHeight="1">
      <c r="A235" s="28"/>
      <c r="B235" s="29"/>
      <c r="E235" s="128"/>
      <c r="F235" s="129"/>
      <c r="H235" s="126"/>
    </row>
    <row r="236" spans="1:8" ht="14.25" customHeight="1">
      <c r="A236" s="28"/>
      <c r="B236" s="29"/>
      <c r="E236" s="128"/>
      <c r="F236" s="129"/>
      <c r="H236" s="126"/>
    </row>
    <row r="237" spans="1:8" ht="14.25" customHeight="1">
      <c r="A237" s="28"/>
      <c r="B237" s="29"/>
      <c r="E237" s="128"/>
      <c r="F237" s="129"/>
      <c r="H237" s="126"/>
    </row>
    <row r="238" spans="1:8" ht="14.25" customHeight="1">
      <c r="A238" s="28"/>
      <c r="B238" s="29"/>
      <c r="E238" s="128"/>
      <c r="F238" s="129"/>
      <c r="H238" s="126"/>
    </row>
    <row r="239" spans="1:8" ht="14.25" customHeight="1">
      <c r="A239" s="28"/>
      <c r="B239" s="29"/>
      <c r="E239" s="128"/>
      <c r="F239" s="129"/>
      <c r="H239" s="126"/>
    </row>
    <row r="240" spans="1:8" ht="14.25" customHeight="1">
      <c r="A240" s="28"/>
      <c r="B240" s="29"/>
      <c r="E240" s="128"/>
      <c r="F240" s="129"/>
      <c r="H240" s="126"/>
    </row>
    <row r="241" spans="1:8" ht="14.25" customHeight="1">
      <c r="A241" s="28"/>
      <c r="B241" s="29"/>
      <c r="E241" s="128"/>
      <c r="F241" s="129"/>
      <c r="H241" s="126"/>
    </row>
    <row r="242" spans="1:8" ht="14.25" customHeight="1">
      <c r="A242" s="28"/>
      <c r="B242" s="29"/>
      <c r="E242" s="128"/>
      <c r="F242" s="129"/>
      <c r="H242" s="126"/>
    </row>
    <row r="243" spans="1:8" ht="14.25" customHeight="1">
      <c r="A243" s="28"/>
      <c r="B243" s="29"/>
      <c r="E243" s="128"/>
      <c r="F243" s="129"/>
      <c r="H243" s="126"/>
    </row>
    <row r="244" spans="1:8" ht="14.25" customHeight="1">
      <c r="A244" s="28"/>
      <c r="B244" s="29"/>
      <c r="E244" s="128"/>
      <c r="F244" s="129"/>
      <c r="H244" s="126"/>
    </row>
    <row r="245" spans="1:8" ht="14.25" customHeight="1">
      <c r="A245" s="28"/>
      <c r="B245" s="29"/>
      <c r="E245" s="128"/>
      <c r="F245" s="129"/>
      <c r="H245" s="126"/>
    </row>
    <row r="246" spans="1:8" ht="14.25" customHeight="1">
      <c r="A246" s="28"/>
      <c r="B246" s="29"/>
      <c r="E246" s="128"/>
      <c r="F246" s="129"/>
      <c r="H246" s="126"/>
    </row>
    <row r="247" spans="1:8" ht="14.25" customHeight="1">
      <c r="A247" s="28"/>
      <c r="B247" s="29"/>
      <c r="E247" s="128"/>
      <c r="F247" s="129"/>
      <c r="H247" s="126"/>
    </row>
    <row r="248" spans="1:8" ht="14.25" customHeight="1">
      <c r="A248" s="28"/>
      <c r="B248" s="29"/>
      <c r="E248" s="128"/>
      <c r="F248" s="129"/>
      <c r="H248" s="126"/>
    </row>
    <row r="249" spans="1:8" ht="14.25" customHeight="1">
      <c r="A249" s="28"/>
      <c r="B249" s="29"/>
      <c r="E249" s="128"/>
      <c r="F249" s="129"/>
      <c r="H249" s="126"/>
    </row>
    <row r="250" spans="1:8" ht="14.25" customHeight="1">
      <c r="A250" s="28"/>
      <c r="B250" s="29"/>
      <c r="E250" s="128"/>
      <c r="F250" s="129"/>
      <c r="H250" s="126"/>
    </row>
    <row r="251" spans="1:8" ht="14.25" customHeight="1">
      <c r="A251" s="28"/>
      <c r="B251" s="29"/>
      <c r="E251" s="128"/>
      <c r="F251" s="129"/>
      <c r="H251" s="126"/>
    </row>
    <row r="252" spans="1:8" ht="14.25" customHeight="1">
      <c r="A252" s="28"/>
      <c r="B252" s="29"/>
      <c r="E252" s="128"/>
      <c r="F252" s="129"/>
      <c r="H252" s="126"/>
    </row>
    <row r="253" spans="1:8" ht="14.25" customHeight="1">
      <c r="A253" s="28"/>
      <c r="B253" s="29"/>
      <c r="E253" s="128"/>
      <c r="F253" s="129"/>
      <c r="H253" s="126"/>
    </row>
    <row r="254" spans="1:8" ht="14.25" customHeight="1">
      <c r="A254" s="28"/>
      <c r="B254" s="29"/>
      <c r="E254" s="128"/>
      <c r="F254" s="129"/>
      <c r="H254" s="126"/>
    </row>
    <row r="255" spans="1:8" ht="14.25" customHeight="1">
      <c r="A255" s="28"/>
      <c r="B255" s="29"/>
      <c r="E255" s="128"/>
      <c r="F255" s="129"/>
      <c r="H255" s="126"/>
    </row>
    <row r="256" spans="1:8" ht="14.25" customHeight="1">
      <c r="A256" s="28"/>
      <c r="B256" s="29"/>
      <c r="E256" s="128"/>
      <c r="F256" s="129"/>
      <c r="H256" s="126"/>
    </row>
    <row r="257" spans="1:8" ht="14.25" customHeight="1">
      <c r="A257" s="28"/>
      <c r="B257" s="29"/>
      <c r="E257" s="128"/>
      <c r="F257" s="129"/>
      <c r="H257" s="126"/>
    </row>
    <row r="258" spans="1:8" ht="14.25" customHeight="1">
      <c r="A258" s="28"/>
      <c r="B258" s="29"/>
      <c r="E258" s="128"/>
      <c r="F258" s="129"/>
      <c r="H258" s="126"/>
    </row>
    <row r="259" spans="1:8" ht="14.25" customHeight="1">
      <c r="A259" s="28"/>
      <c r="B259" s="29"/>
      <c r="E259" s="128"/>
      <c r="F259" s="129"/>
      <c r="H259" s="126"/>
    </row>
    <row r="260" spans="1:8" ht="14.25" customHeight="1">
      <c r="A260" s="28"/>
      <c r="B260" s="29"/>
      <c r="E260" s="128"/>
      <c r="F260" s="129"/>
      <c r="H260" s="126"/>
    </row>
    <row r="261" spans="1:8" ht="14.25" customHeight="1">
      <c r="A261" s="28"/>
      <c r="B261" s="29"/>
      <c r="E261" s="128"/>
      <c r="F261" s="129"/>
      <c r="H261" s="126"/>
    </row>
    <row r="262" spans="1:8" ht="14.25" customHeight="1">
      <c r="A262" s="28"/>
      <c r="B262" s="29"/>
      <c r="E262" s="128"/>
      <c r="F262" s="129"/>
      <c r="H262" s="126"/>
    </row>
    <row r="263" spans="1:8" ht="14.25" customHeight="1">
      <c r="A263" s="28"/>
      <c r="B263" s="29"/>
      <c r="E263" s="128"/>
      <c r="F263" s="129"/>
      <c r="H263" s="126"/>
    </row>
    <row r="264" spans="1:8" ht="14.25" customHeight="1">
      <c r="A264" s="28"/>
      <c r="B264" s="29"/>
      <c r="E264" s="128"/>
      <c r="F264" s="129"/>
      <c r="H264" s="126"/>
    </row>
    <row r="265" spans="1:8" ht="14.25" customHeight="1">
      <c r="A265" s="28"/>
      <c r="B265" s="29"/>
      <c r="E265" s="128"/>
      <c r="F265" s="129"/>
      <c r="H265" s="126"/>
    </row>
    <row r="266" spans="1:8" ht="14.25" customHeight="1">
      <c r="A266" s="28"/>
      <c r="B266" s="29"/>
      <c r="E266" s="128"/>
      <c r="F266" s="129"/>
      <c r="H266" s="126"/>
    </row>
    <row r="267" spans="1:8" ht="14.25" customHeight="1">
      <c r="A267" s="28"/>
      <c r="B267" s="29"/>
      <c r="E267" s="128"/>
      <c r="F267" s="129"/>
      <c r="H267" s="126"/>
    </row>
    <row r="268" spans="1:8" ht="14.25" customHeight="1">
      <c r="A268" s="28"/>
      <c r="B268" s="29"/>
      <c r="E268" s="128"/>
      <c r="F268" s="129"/>
      <c r="H268" s="126"/>
    </row>
    <row r="269" spans="1:8" ht="14.25" customHeight="1">
      <c r="A269" s="28"/>
      <c r="B269" s="29"/>
      <c r="E269" s="128"/>
      <c r="F269" s="129"/>
      <c r="H269" s="126"/>
    </row>
    <row r="270" spans="1:8" ht="14.25" customHeight="1">
      <c r="A270" s="28"/>
      <c r="B270" s="29"/>
      <c r="E270" s="128"/>
      <c r="F270" s="129"/>
      <c r="H270" s="126"/>
    </row>
    <row r="271" spans="1:8" ht="14.25" customHeight="1">
      <c r="A271" s="28"/>
      <c r="B271" s="29"/>
      <c r="E271" s="128"/>
      <c r="F271" s="129"/>
      <c r="H271" s="126"/>
    </row>
    <row r="272" spans="1:8" ht="14.25" customHeight="1">
      <c r="A272" s="28"/>
      <c r="B272" s="29"/>
      <c r="E272" s="128"/>
      <c r="F272" s="129"/>
      <c r="H272" s="126"/>
    </row>
    <row r="273" spans="1:8" ht="14.25" customHeight="1">
      <c r="A273" s="28"/>
      <c r="B273" s="29"/>
      <c r="E273" s="128"/>
      <c r="F273" s="129"/>
      <c r="H273" s="126"/>
    </row>
    <row r="274" spans="1:8" ht="14.25" customHeight="1">
      <c r="A274" s="28"/>
      <c r="B274" s="29"/>
      <c r="E274" s="128"/>
      <c r="F274" s="129"/>
      <c r="H274" s="126"/>
    </row>
    <row r="275" spans="1:8" ht="14.25" customHeight="1">
      <c r="A275" s="28"/>
      <c r="B275" s="29"/>
      <c r="E275" s="128"/>
      <c r="F275" s="129"/>
      <c r="H275" s="126"/>
    </row>
    <row r="276" spans="1:8" ht="14.25" customHeight="1">
      <c r="A276" s="28"/>
      <c r="B276" s="29"/>
      <c r="E276" s="128"/>
      <c r="F276" s="129"/>
      <c r="H276" s="126"/>
    </row>
    <row r="277" spans="1:8" ht="14.25" customHeight="1">
      <c r="A277" s="28"/>
      <c r="B277" s="29"/>
      <c r="E277" s="128"/>
      <c r="F277" s="129"/>
      <c r="H277" s="126"/>
    </row>
    <row r="278" spans="1:8" ht="14.25" customHeight="1">
      <c r="A278" s="28"/>
      <c r="B278" s="29"/>
      <c r="E278" s="128"/>
      <c r="F278" s="129"/>
      <c r="H278" s="126"/>
    </row>
    <row r="279" spans="1:8" ht="14.25" customHeight="1">
      <c r="A279" s="28"/>
      <c r="B279" s="29"/>
      <c r="E279" s="128"/>
      <c r="F279" s="129"/>
      <c r="H279" s="126"/>
    </row>
    <row r="280" spans="1:8" ht="14.25" customHeight="1">
      <c r="A280" s="28"/>
      <c r="B280" s="29"/>
      <c r="E280" s="128"/>
      <c r="F280" s="129"/>
      <c r="H280" s="126"/>
    </row>
    <row r="281" spans="1:8" ht="14.25" customHeight="1">
      <c r="A281" s="28"/>
      <c r="B281" s="29"/>
      <c r="E281" s="128"/>
      <c r="F281" s="129"/>
      <c r="H281" s="126"/>
    </row>
    <row r="282" spans="1:8" ht="14.25" customHeight="1">
      <c r="A282" s="28"/>
      <c r="B282" s="29"/>
      <c r="E282" s="128"/>
      <c r="F282" s="129"/>
      <c r="H282" s="126"/>
    </row>
    <row r="283" spans="1:8" ht="14.25" customHeight="1">
      <c r="A283" s="28"/>
      <c r="B283" s="29"/>
      <c r="E283" s="128"/>
      <c r="F283" s="129"/>
      <c r="H283" s="126"/>
    </row>
    <row r="284" spans="1:8" ht="14.25" customHeight="1">
      <c r="A284" s="28"/>
      <c r="B284" s="29"/>
      <c r="E284" s="128"/>
      <c r="F284" s="129"/>
      <c r="H284" s="126"/>
    </row>
    <row r="285" spans="1:8" ht="14.25" customHeight="1">
      <c r="A285" s="28"/>
      <c r="B285" s="29"/>
      <c r="E285" s="128"/>
      <c r="F285" s="129"/>
      <c r="H285" s="126"/>
    </row>
    <row r="286" spans="1:8" ht="14.25" customHeight="1">
      <c r="A286" s="28"/>
      <c r="B286" s="29"/>
      <c r="E286" s="128"/>
      <c r="F286" s="129"/>
      <c r="H286" s="126"/>
    </row>
    <row r="287" spans="1:8" ht="14.25" customHeight="1">
      <c r="A287" s="28"/>
      <c r="B287" s="29"/>
      <c r="E287" s="128"/>
      <c r="F287" s="129"/>
      <c r="H287" s="126"/>
    </row>
    <row r="288" spans="1:8" ht="14.25" customHeight="1">
      <c r="A288" s="28"/>
      <c r="B288" s="29"/>
      <c r="E288" s="128"/>
      <c r="F288" s="129"/>
      <c r="H288" s="126"/>
    </row>
    <row r="289" spans="1:8" ht="14.25" customHeight="1">
      <c r="A289" s="28"/>
      <c r="B289" s="29"/>
      <c r="E289" s="128"/>
      <c r="F289" s="129"/>
      <c r="H289" s="126"/>
    </row>
    <row r="290" spans="1:8" ht="14.25" customHeight="1">
      <c r="A290" s="28"/>
      <c r="B290" s="29"/>
      <c r="E290" s="128"/>
      <c r="F290" s="129"/>
      <c r="H290" s="126"/>
    </row>
    <row r="291" spans="1:8" ht="14.25" customHeight="1">
      <c r="A291" s="28"/>
      <c r="B291" s="29"/>
      <c r="E291" s="128"/>
      <c r="F291" s="129"/>
      <c r="H291" s="126"/>
    </row>
    <row r="292" spans="1:8" ht="14.25" customHeight="1">
      <c r="A292" s="28"/>
      <c r="B292" s="29"/>
      <c r="E292" s="128"/>
      <c r="F292" s="129"/>
      <c r="H292" s="126"/>
    </row>
    <row r="293" spans="1:8" ht="14.25" customHeight="1">
      <c r="A293" s="28"/>
      <c r="B293" s="29"/>
      <c r="E293" s="128"/>
      <c r="F293" s="129"/>
      <c r="H293" s="126"/>
    </row>
    <row r="294" spans="1:8" ht="14.25" customHeight="1">
      <c r="A294" s="28"/>
      <c r="B294" s="29"/>
      <c r="E294" s="128"/>
      <c r="F294" s="129"/>
      <c r="H294" s="126"/>
    </row>
    <row r="295" spans="1:8" ht="14.25" customHeight="1">
      <c r="A295" s="28"/>
      <c r="B295" s="29"/>
      <c r="E295" s="128"/>
      <c r="F295" s="129"/>
      <c r="H295" s="126"/>
    </row>
    <row r="296" spans="1:8" ht="14.25" customHeight="1">
      <c r="A296" s="28"/>
      <c r="B296" s="29"/>
      <c r="E296" s="128"/>
      <c r="F296" s="129"/>
      <c r="H296" s="126"/>
    </row>
    <row r="297" spans="1:8" ht="14.25" customHeight="1">
      <c r="A297" s="28"/>
      <c r="B297" s="29"/>
      <c r="E297" s="128"/>
      <c r="F297" s="129"/>
      <c r="H297" s="126"/>
    </row>
    <row r="298" spans="1:8" ht="14.25" customHeight="1">
      <c r="A298" s="28"/>
      <c r="B298" s="29"/>
      <c r="E298" s="128"/>
      <c r="F298" s="129"/>
      <c r="H298" s="126"/>
    </row>
    <row r="299" spans="1:8" ht="14.25" customHeight="1">
      <c r="A299" s="28"/>
      <c r="B299" s="29"/>
      <c r="E299" s="128"/>
      <c r="F299" s="129"/>
      <c r="H299" s="126"/>
    </row>
    <row r="300" spans="1:8" ht="14.25" customHeight="1">
      <c r="A300" s="28"/>
      <c r="B300" s="29"/>
      <c r="E300" s="128"/>
      <c r="F300" s="129"/>
      <c r="H300" s="126"/>
    </row>
    <row r="301" spans="1:8" ht="14.25" customHeight="1">
      <c r="A301" s="28"/>
      <c r="B301" s="29"/>
      <c r="E301" s="128"/>
      <c r="F301" s="129"/>
      <c r="H301" s="126"/>
    </row>
    <row r="302" spans="1:8" ht="14.25" customHeight="1">
      <c r="A302" s="28"/>
      <c r="B302" s="29"/>
      <c r="E302" s="128"/>
      <c r="F302" s="129"/>
      <c r="H302" s="126"/>
    </row>
    <row r="303" spans="1:8" ht="14.25" customHeight="1">
      <c r="A303" s="28"/>
      <c r="B303" s="29"/>
      <c r="E303" s="128"/>
      <c r="F303" s="129"/>
      <c r="H303" s="126"/>
    </row>
    <row r="304" spans="1:8" ht="14.25" customHeight="1">
      <c r="A304" s="28"/>
      <c r="B304" s="29"/>
      <c r="E304" s="128"/>
      <c r="F304" s="129"/>
      <c r="H304" s="126"/>
    </row>
    <row r="305" spans="1:8" ht="14.25" customHeight="1">
      <c r="A305" s="28"/>
      <c r="B305" s="29"/>
      <c r="E305" s="128"/>
      <c r="F305" s="129"/>
      <c r="H305" s="126"/>
    </row>
    <row r="306" spans="1:8" ht="14.25" customHeight="1">
      <c r="A306" s="28"/>
      <c r="B306" s="29"/>
      <c r="E306" s="128"/>
      <c r="F306" s="129"/>
      <c r="H306" s="126"/>
    </row>
    <row r="307" spans="1:8" ht="14.25" customHeight="1">
      <c r="A307" s="28"/>
      <c r="B307" s="29"/>
      <c r="E307" s="128"/>
      <c r="F307" s="129"/>
      <c r="H307" s="126"/>
    </row>
    <row r="308" spans="1:8" ht="14.25" customHeight="1">
      <c r="A308" s="28"/>
      <c r="B308" s="29"/>
      <c r="E308" s="128"/>
      <c r="F308" s="129"/>
      <c r="H308" s="126"/>
    </row>
    <row r="309" spans="1:8" ht="14.25" customHeight="1">
      <c r="A309" s="28"/>
      <c r="B309" s="29"/>
      <c r="E309" s="128"/>
      <c r="F309" s="129"/>
      <c r="H309" s="126"/>
    </row>
    <row r="310" spans="1:8" ht="14.25" customHeight="1">
      <c r="A310" s="28"/>
      <c r="B310" s="29"/>
      <c r="E310" s="128"/>
      <c r="F310" s="129"/>
      <c r="H310" s="126"/>
    </row>
    <row r="311" spans="1:8" ht="14.25" customHeight="1">
      <c r="A311" s="28"/>
      <c r="B311" s="29"/>
      <c r="E311" s="128"/>
      <c r="F311" s="129"/>
      <c r="H311" s="126"/>
    </row>
    <row r="312" spans="1:8" ht="14.25" customHeight="1">
      <c r="A312" s="28"/>
      <c r="B312" s="29"/>
      <c r="E312" s="128"/>
      <c r="F312" s="129"/>
      <c r="H312" s="126"/>
    </row>
    <row r="313" spans="1:8" ht="14.25" customHeight="1">
      <c r="A313" s="28"/>
      <c r="B313" s="29"/>
      <c r="E313" s="128"/>
      <c r="F313" s="129"/>
      <c r="H313" s="126"/>
    </row>
    <row r="314" spans="1:8" ht="14.25" customHeight="1">
      <c r="A314" s="28"/>
      <c r="B314" s="29"/>
      <c r="E314" s="128"/>
      <c r="F314" s="129"/>
      <c r="H314" s="126"/>
    </row>
    <row r="315" spans="1:8" ht="14.25" customHeight="1">
      <c r="A315" s="28"/>
      <c r="B315" s="29"/>
      <c r="E315" s="128"/>
      <c r="F315" s="129"/>
      <c r="H315" s="126"/>
    </row>
    <row r="316" spans="1:8" ht="14.25" customHeight="1">
      <c r="A316" s="28"/>
      <c r="B316" s="29"/>
      <c r="E316" s="128"/>
      <c r="F316" s="129"/>
      <c r="H316" s="126"/>
    </row>
    <row r="317" spans="1:8" ht="14.25" customHeight="1">
      <c r="A317" s="28"/>
      <c r="B317" s="29"/>
      <c r="E317" s="128"/>
      <c r="F317" s="129"/>
      <c r="H317" s="126"/>
    </row>
    <row r="318" spans="1:8" ht="14.25" customHeight="1">
      <c r="A318" s="28"/>
      <c r="B318" s="29"/>
      <c r="E318" s="128"/>
      <c r="F318" s="129"/>
      <c r="H318" s="126"/>
    </row>
    <row r="319" spans="1:8" ht="14.25" customHeight="1">
      <c r="A319" s="28"/>
      <c r="B319" s="29"/>
      <c r="E319" s="128"/>
      <c r="F319" s="129"/>
      <c r="H319" s="126"/>
    </row>
    <row r="320" spans="1:8" ht="14.25" customHeight="1">
      <c r="A320" s="28"/>
      <c r="B320" s="29"/>
      <c r="E320" s="128"/>
      <c r="F320" s="129"/>
      <c r="H320" s="126"/>
    </row>
    <row r="321" spans="1:8" ht="14.25" customHeight="1">
      <c r="A321" s="28"/>
      <c r="B321" s="29"/>
      <c r="E321" s="128"/>
      <c r="F321" s="129"/>
      <c r="H321" s="126"/>
    </row>
    <row r="322" spans="1:8" ht="14.25" customHeight="1">
      <c r="A322" s="28"/>
      <c r="B322" s="29"/>
      <c r="E322" s="128"/>
      <c r="F322" s="129"/>
      <c r="H322" s="126"/>
    </row>
    <row r="323" spans="1:8" ht="14.25" customHeight="1">
      <c r="A323" s="28"/>
      <c r="B323" s="29"/>
      <c r="E323" s="128"/>
      <c r="F323" s="129"/>
      <c r="H323" s="126"/>
    </row>
    <row r="324" spans="1:8" ht="14.25" customHeight="1">
      <c r="A324" s="28"/>
      <c r="B324" s="29"/>
      <c r="E324" s="128"/>
      <c r="F324" s="129"/>
      <c r="H324" s="126"/>
    </row>
    <row r="325" spans="1:8" ht="14.25" customHeight="1">
      <c r="A325" s="28"/>
      <c r="B325" s="29"/>
      <c r="E325" s="128"/>
      <c r="F325" s="129"/>
      <c r="H325" s="126"/>
    </row>
    <row r="326" spans="1:8" ht="14.25" customHeight="1">
      <c r="A326" s="28"/>
      <c r="B326" s="29"/>
      <c r="E326" s="128"/>
      <c r="F326" s="129"/>
      <c r="H326" s="126"/>
    </row>
    <row r="327" spans="1:8" ht="14.25" customHeight="1">
      <c r="A327" s="28"/>
      <c r="B327" s="29"/>
      <c r="E327" s="128"/>
      <c r="F327" s="129"/>
      <c r="H327" s="126"/>
    </row>
    <row r="328" spans="1:8" ht="14.25" customHeight="1">
      <c r="A328" s="28"/>
      <c r="B328" s="29"/>
      <c r="E328" s="128"/>
      <c r="F328" s="129"/>
      <c r="H328" s="126"/>
    </row>
    <row r="329" spans="1:8" ht="14.25" customHeight="1">
      <c r="A329" s="28"/>
      <c r="B329" s="29"/>
      <c r="E329" s="128"/>
      <c r="F329" s="129"/>
      <c r="H329" s="126"/>
    </row>
    <row r="330" spans="1:8" ht="14.25" customHeight="1">
      <c r="A330" s="28"/>
      <c r="B330" s="29"/>
      <c r="E330" s="128"/>
      <c r="F330" s="129"/>
      <c r="H330" s="126"/>
    </row>
    <row r="331" spans="1:8" ht="14.25" customHeight="1">
      <c r="A331" s="28"/>
      <c r="B331" s="29"/>
      <c r="E331" s="128"/>
      <c r="F331" s="129"/>
      <c r="H331" s="126"/>
    </row>
    <row r="332" spans="1:8" ht="14.25" customHeight="1">
      <c r="A332" s="28"/>
      <c r="B332" s="29"/>
      <c r="E332" s="128"/>
      <c r="F332" s="129"/>
      <c r="H332" s="126"/>
    </row>
    <row r="333" spans="1:8" ht="14.25" customHeight="1">
      <c r="A333" s="28"/>
      <c r="B333" s="29"/>
      <c r="E333" s="128"/>
      <c r="F333" s="129"/>
      <c r="H333" s="126"/>
    </row>
    <row r="334" spans="1:8" ht="14.25" customHeight="1">
      <c r="A334" s="28"/>
      <c r="B334" s="29"/>
      <c r="E334" s="128"/>
      <c r="F334" s="129"/>
      <c r="H334" s="126"/>
    </row>
    <row r="335" spans="1:8" ht="14.25" customHeight="1">
      <c r="A335" s="28"/>
      <c r="B335" s="29"/>
      <c r="E335" s="128"/>
      <c r="F335" s="129"/>
      <c r="H335" s="126"/>
    </row>
    <row r="336" spans="1:8" ht="14.25" customHeight="1">
      <c r="A336" s="28"/>
      <c r="B336" s="29"/>
      <c r="E336" s="128"/>
      <c r="F336" s="129"/>
      <c r="H336" s="126"/>
    </row>
    <row r="337" spans="1:8" ht="14.25" customHeight="1">
      <c r="A337" s="28"/>
      <c r="B337" s="29"/>
      <c r="E337" s="128"/>
      <c r="F337" s="129"/>
      <c r="H337" s="126"/>
    </row>
    <row r="338" spans="1:8" ht="14.25" customHeight="1">
      <c r="A338" s="28"/>
      <c r="B338" s="29"/>
      <c r="E338" s="128"/>
      <c r="F338" s="129"/>
      <c r="H338" s="126"/>
    </row>
    <row r="339" spans="1:8" ht="14.25" customHeight="1">
      <c r="A339" s="28"/>
      <c r="B339" s="29"/>
      <c r="E339" s="128"/>
      <c r="F339" s="129"/>
      <c r="H339" s="126"/>
    </row>
    <row r="340" spans="1:8" ht="14.25" customHeight="1">
      <c r="A340" s="28"/>
      <c r="B340" s="29"/>
      <c r="E340" s="128"/>
      <c r="F340" s="129"/>
      <c r="H340" s="126"/>
    </row>
    <row r="341" spans="1:8" ht="14.25" customHeight="1">
      <c r="A341" s="28"/>
      <c r="B341" s="29"/>
      <c r="E341" s="128"/>
      <c r="F341" s="129"/>
      <c r="H341" s="126"/>
    </row>
    <row r="342" spans="1:8" ht="14.25" customHeight="1">
      <c r="A342" s="28"/>
      <c r="B342" s="29"/>
      <c r="E342" s="128"/>
      <c r="F342" s="129"/>
      <c r="H342" s="126"/>
    </row>
    <row r="343" spans="1:8" ht="14.25" customHeight="1">
      <c r="A343" s="28"/>
      <c r="B343" s="29"/>
      <c r="E343" s="128"/>
      <c r="F343" s="129"/>
      <c r="H343" s="126"/>
    </row>
    <row r="344" spans="1:8" ht="14.25" customHeight="1">
      <c r="A344" s="28"/>
      <c r="B344" s="29"/>
      <c r="E344" s="128"/>
      <c r="F344" s="129"/>
      <c r="H344" s="126"/>
    </row>
    <row r="345" spans="1:8" ht="14.25" customHeight="1">
      <c r="A345" s="28"/>
      <c r="B345" s="29"/>
      <c r="E345" s="128"/>
      <c r="F345" s="129"/>
      <c r="H345" s="126"/>
    </row>
    <row r="346" spans="1:8" ht="14.25" customHeight="1">
      <c r="A346" s="28"/>
      <c r="B346" s="29"/>
      <c r="E346" s="128"/>
      <c r="F346" s="129"/>
      <c r="H346" s="126"/>
    </row>
    <row r="347" spans="1:8" ht="14.25" customHeight="1">
      <c r="A347" s="28"/>
      <c r="B347" s="29"/>
      <c r="E347" s="128"/>
      <c r="F347" s="129"/>
      <c r="H347" s="126"/>
    </row>
    <row r="348" spans="1:8" ht="14.25" customHeight="1">
      <c r="A348" s="28"/>
      <c r="B348" s="29"/>
      <c r="E348" s="128"/>
      <c r="F348" s="129"/>
      <c r="H348" s="126"/>
    </row>
    <row r="349" spans="1:8" ht="14.25" customHeight="1">
      <c r="A349" s="28"/>
      <c r="B349" s="29"/>
      <c r="E349" s="128"/>
      <c r="F349" s="129"/>
      <c r="H349" s="126"/>
    </row>
    <row r="350" spans="1:8" ht="14.25" customHeight="1">
      <c r="A350" s="28"/>
      <c r="B350" s="29"/>
      <c r="E350" s="128"/>
      <c r="F350" s="129"/>
      <c r="H350" s="126"/>
    </row>
    <row r="351" spans="1:8" ht="14.25" customHeight="1">
      <c r="A351" s="28"/>
      <c r="B351" s="29"/>
      <c r="E351" s="128"/>
      <c r="F351" s="129"/>
      <c r="H351" s="126"/>
    </row>
    <row r="352" spans="1:8" ht="14.25" customHeight="1">
      <c r="A352" s="28"/>
      <c r="B352" s="29"/>
      <c r="E352" s="128"/>
      <c r="F352" s="129"/>
      <c r="H352" s="126"/>
    </row>
    <row r="353" spans="1:8" ht="14.25" customHeight="1">
      <c r="A353" s="28"/>
      <c r="B353" s="29"/>
      <c r="E353" s="128"/>
      <c r="F353" s="129"/>
      <c r="H353" s="126"/>
    </row>
    <row r="354" spans="1:8" ht="14.25" customHeight="1">
      <c r="A354" s="28"/>
      <c r="B354" s="29"/>
      <c r="E354" s="128"/>
      <c r="F354" s="129"/>
      <c r="H354" s="126"/>
    </row>
    <row r="355" spans="1:8" ht="14.25" customHeight="1">
      <c r="A355" s="28"/>
      <c r="B355" s="29"/>
      <c r="E355" s="128"/>
      <c r="F355" s="129"/>
      <c r="H355" s="126"/>
    </row>
    <row r="356" spans="1:8" ht="14.25" customHeight="1">
      <c r="A356" s="28"/>
      <c r="B356" s="29"/>
      <c r="E356" s="128"/>
      <c r="F356" s="129"/>
      <c r="H356" s="126"/>
    </row>
    <row r="357" spans="1:8" ht="14.25" customHeight="1">
      <c r="A357" s="28"/>
      <c r="B357" s="29"/>
      <c r="E357" s="128"/>
      <c r="F357" s="129"/>
      <c r="H357" s="126"/>
    </row>
    <row r="358" spans="1:8" ht="14.25" customHeight="1">
      <c r="A358" s="28"/>
      <c r="B358" s="29"/>
      <c r="E358" s="128"/>
      <c r="F358" s="129"/>
      <c r="H358" s="126"/>
    </row>
    <row r="359" spans="1:8" ht="14.25" customHeight="1">
      <c r="A359" s="28"/>
      <c r="B359" s="29"/>
      <c r="E359" s="128"/>
      <c r="F359" s="129"/>
      <c r="H359" s="126"/>
    </row>
    <row r="360" spans="1:8" ht="14.25" customHeight="1">
      <c r="A360" s="28"/>
      <c r="B360" s="29"/>
      <c r="E360" s="128"/>
      <c r="F360" s="129"/>
      <c r="H360" s="126"/>
    </row>
    <row r="361" spans="1:8" ht="14.25" customHeight="1">
      <c r="A361" s="28"/>
      <c r="B361" s="29"/>
      <c r="E361" s="128"/>
      <c r="F361" s="129"/>
      <c r="H361" s="126"/>
    </row>
    <row r="362" spans="1:8" ht="14.25" customHeight="1">
      <c r="A362" s="28"/>
      <c r="B362" s="29"/>
      <c r="E362" s="128"/>
      <c r="F362" s="129"/>
      <c r="H362" s="126"/>
    </row>
    <row r="363" spans="1:8" ht="14.25" customHeight="1">
      <c r="A363" s="28"/>
      <c r="B363" s="29"/>
      <c r="E363" s="128"/>
      <c r="F363" s="129"/>
      <c r="H363" s="126"/>
    </row>
    <row r="364" spans="1:8" ht="14.25" customHeight="1">
      <c r="A364" s="28"/>
      <c r="B364" s="29"/>
      <c r="E364" s="128"/>
      <c r="F364" s="129"/>
      <c r="H364" s="126"/>
    </row>
    <row r="365" spans="1:8" ht="14.25" customHeight="1">
      <c r="A365" s="28"/>
      <c r="B365" s="29"/>
      <c r="E365" s="128"/>
      <c r="F365" s="129"/>
      <c r="H365" s="126"/>
    </row>
    <row r="366" spans="1:8" ht="14.25" customHeight="1">
      <c r="A366" s="28"/>
      <c r="B366" s="29"/>
      <c r="E366" s="128"/>
      <c r="F366" s="129"/>
      <c r="H366" s="126"/>
    </row>
    <row r="367" spans="1:8" ht="14.25" customHeight="1">
      <c r="A367" s="28"/>
      <c r="B367" s="29"/>
      <c r="E367" s="128"/>
      <c r="F367" s="129"/>
      <c r="H367" s="126"/>
    </row>
    <row r="368" spans="1:8" ht="14.25" customHeight="1">
      <c r="A368" s="28"/>
      <c r="B368" s="29"/>
      <c r="E368" s="128"/>
      <c r="F368" s="129"/>
      <c r="H368" s="126"/>
    </row>
    <row r="369" spans="1:8" ht="14.25" customHeight="1">
      <c r="A369" s="28"/>
      <c r="B369" s="29"/>
      <c r="E369" s="128"/>
      <c r="F369" s="129"/>
      <c r="H369" s="126"/>
    </row>
    <row r="370" spans="1:8" ht="14.25" customHeight="1">
      <c r="A370" s="28"/>
      <c r="B370" s="29"/>
      <c r="E370" s="128"/>
      <c r="F370" s="129"/>
      <c r="H370" s="126"/>
    </row>
    <row r="371" spans="1:8" ht="14.25" customHeight="1">
      <c r="A371" s="28"/>
      <c r="B371" s="29"/>
      <c r="E371" s="128"/>
      <c r="F371" s="129"/>
      <c r="H371" s="126"/>
    </row>
    <row r="372" spans="1:8" ht="14.25" customHeight="1">
      <c r="A372" s="28"/>
      <c r="B372" s="29"/>
      <c r="E372" s="128"/>
      <c r="F372" s="129"/>
      <c r="H372" s="126"/>
    </row>
    <row r="373" spans="1:8" ht="14.25" customHeight="1">
      <c r="A373" s="28"/>
      <c r="B373" s="29"/>
      <c r="E373" s="128"/>
      <c r="F373" s="129"/>
      <c r="H373" s="126"/>
    </row>
    <row r="374" spans="1:8" ht="14.25" customHeight="1">
      <c r="A374" s="28"/>
      <c r="B374" s="29"/>
      <c r="E374" s="128"/>
      <c r="F374" s="129"/>
      <c r="H374" s="126"/>
    </row>
    <row r="375" spans="1:8" ht="14.25" customHeight="1">
      <c r="A375" s="28"/>
      <c r="B375" s="29"/>
      <c r="E375" s="128"/>
      <c r="F375" s="129"/>
      <c r="H375" s="126"/>
    </row>
    <row r="376" spans="1:8" ht="14.25" customHeight="1">
      <c r="A376" s="28"/>
      <c r="B376" s="29"/>
      <c r="E376" s="128"/>
      <c r="F376" s="129"/>
      <c r="H376" s="126"/>
    </row>
    <row r="377" spans="1:8" ht="14.25" customHeight="1">
      <c r="A377" s="28"/>
      <c r="B377" s="29"/>
      <c r="E377" s="128"/>
      <c r="F377" s="129"/>
      <c r="H377" s="126"/>
    </row>
    <row r="378" spans="1:8" ht="14.25" customHeight="1">
      <c r="A378" s="28"/>
      <c r="B378" s="29"/>
      <c r="E378" s="128"/>
      <c r="F378" s="129"/>
      <c r="H378" s="126"/>
    </row>
    <row r="379" spans="1:8" ht="14.25" customHeight="1">
      <c r="A379" s="28"/>
      <c r="B379" s="29"/>
      <c r="E379" s="128"/>
      <c r="F379" s="129"/>
      <c r="H379" s="126"/>
    </row>
    <row r="380" spans="1:8" ht="14.25" customHeight="1">
      <c r="A380" s="28"/>
      <c r="B380" s="29"/>
      <c r="E380" s="128"/>
      <c r="F380" s="129"/>
      <c r="H380" s="126"/>
    </row>
    <row r="381" spans="1:8" ht="14.25" customHeight="1">
      <c r="A381" s="28"/>
      <c r="B381" s="29"/>
      <c r="E381" s="128"/>
      <c r="F381" s="129"/>
      <c r="H381" s="126"/>
    </row>
    <row r="382" spans="1:8" ht="14.25" customHeight="1">
      <c r="A382" s="28"/>
      <c r="B382" s="29"/>
      <c r="E382" s="128"/>
      <c r="F382" s="129"/>
      <c r="H382" s="126"/>
    </row>
    <row r="383" spans="1:8" ht="14.25" customHeight="1">
      <c r="A383" s="28"/>
      <c r="B383" s="29"/>
      <c r="E383" s="128"/>
      <c r="F383" s="129"/>
      <c r="H383" s="126"/>
    </row>
    <row r="384" spans="1:8" ht="14.25" customHeight="1">
      <c r="A384" s="28"/>
      <c r="B384" s="29"/>
      <c r="E384" s="128"/>
      <c r="F384" s="129"/>
      <c r="H384" s="126"/>
    </row>
    <row r="385" spans="1:8" ht="14.25" customHeight="1">
      <c r="A385" s="28"/>
      <c r="B385" s="29"/>
      <c r="E385" s="128"/>
      <c r="F385" s="129"/>
      <c r="H385" s="126"/>
    </row>
    <row r="386" spans="1:8" ht="14.25" customHeight="1">
      <c r="A386" s="28"/>
      <c r="B386" s="29"/>
      <c r="E386" s="128"/>
      <c r="F386" s="129"/>
      <c r="H386" s="126"/>
    </row>
    <row r="387" spans="1:8" ht="14.25" customHeight="1">
      <c r="A387" s="28"/>
      <c r="B387" s="29"/>
      <c r="E387" s="128"/>
      <c r="F387" s="129"/>
      <c r="H387" s="126"/>
    </row>
    <row r="388" spans="1:8" ht="14.25" customHeight="1">
      <c r="A388" s="28"/>
      <c r="B388" s="29"/>
      <c r="E388" s="128"/>
      <c r="F388" s="129"/>
      <c r="H388" s="126"/>
    </row>
    <row r="389" spans="1:8" ht="14.25" customHeight="1">
      <c r="A389" s="28"/>
      <c r="B389" s="29"/>
      <c r="E389" s="128"/>
      <c r="F389" s="129"/>
      <c r="H389" s="126"/>
    </row>
    <row r="390" spans="1:8" ht="14.25" customHeight="1">
      <c r="A390" s="28"/>
      <c r="B390" s="29"/>
      <c r="E390" s="128"/>
      <c r="F390" s="129"/>
      <c r="H390" s="126"/>
    </row>
    <row r="391" spans="1:8" ht="14.25" customHeight="1">
      <c r="A391" s="28"/>
      <c r="B391" s="29"/>
      <c r="E391" s="128"/>
      <c r="F391" s="129"/>
      <c r="H391" s="126"/>
    </row>
    <row r="392" spans="1:8" ht="14.25" customHeight="1">
      <c r="A392" s="28"/>
      <c r="B392" s="29"/>
      <c r="E392" s="128"/>
      <c r="F392" s="129"/>
      <c r="H392" s="126"/>
    </row>
    <row r="393" spans="1:8" ht="14.25" customHeight="1">
      <c r="A393" s="28"/>
      <c r="B393" s="29"/>
      <c r="E393" s="128"/>
      <c r="F393" s="129"/>
      <c r="H393" s="126"/>
    </row>
    <row r="394" spans="1:8" ht="14.25" customHeight="1">
      <c r="A394" s="28"/>
      <c r="B394" s="29"/>
      <c r="E394" s="128"/>
      <c r="F394" s="129"/>
      <c r="H394" s="126"/>
    </row>
    <row r="395" spans="1:8" ht="14.25" customHeight="1">
      <c r="A395" s="28"/>
      <c r="B395" s="29"/>
      <c r="E395" s="128"/>
      <c r="F395" s="129"/>
      <c r="H395" s="126"/>
    </row>
    <row r="396" spans="1:8" ht="14.25" customHeight="1">
      <c r="A396" s="28"/>
      <c r="B396" s="29"/>
      <c r="E396" s="128"/>
      <c r="F396" s="129"/>
      <c r="H396" s="126"/>
    </row>
    <row r="397" spans="1:8" ht="14.25" customHeight="1">
      <c r="A397" s="28"/>
      <c r="B397" s="29"/>
      <c r="E397" s="128"/>
      <c r="F397" s="129"/>
      <c r="H397" s="126"/>
    </row>
    <row r="398" spans="1:8" ht="14.25" customHeight="1">
      <c r="A398" s="28"/>
      <c r="B398" s="29"/>
      <c r="E398" s="128"/>
      <c r="F398" s="129"/>
      <c r="H398" s="126"/>
    </row>
    <row r="399" spans="1:8" ht="14.25" customHeight="1">
      <c r="A399" s="28"/>
      <c r="B399" s="29"/>
      <c r="E399" s="128"/>
      <c r="F399" s="129"/>
      <c r="H399" s="126"/>
    </row>
    <row r="400" spans="1:8" ht="14.25" customHeight="1">
      <c r="A400" s="28"/>
      <c r="B400" s="29"/>
      <c r="E400" s="128"/>
      <c r="F400" s="129"/>
      <c r="H400" s="126"/>
    </row>
    <row r="401" spans="1:8" ht="14.25" customHeight="1">
      <c r="A401" s="28"/>
      <c r="B401" s="29"/>
      <c r="E401" s="128"/>
      <c r="F401" s="129"/>
      <c r="H401" s="126"/>
    </row>
    <row r="402" spans="1:8" ht="14.25" customHeight="1">
      <c r="A402" s="28"/>
      <c r="B402" s="29"/>
      <c r="E402" s="128"/>
      <c r="F402" s="129"/>
      <c r="H402" s="126"/>
    </row>
    <row r="403" spans="1:8" ht="14.25" customHeight="1">
      <c r="A403" s="28"/>
      <c r="B403" s="29"/>
      <c r="E403" s="128"/>
      <c r="F403" s="129"/>
      <c r="H403" s="126"/>
    </row>
    <row r="404" spans="1:8" ht="14.25" customHeight="1">
      <c r="A404" s="28"/>
      <c r="B404" s="29"/>
      <c r="E404" s="128"/>
      <c r="F404" s="129"/>
      <c r="H404" s="126"/>
    </row>
    <row r="405" spans="1:8" ht="14.25" customHeight="1">
      <c r="A405" s="28"/>
      <c r="B405" s="29"/>
      <c r="E405" s="128"/>
      <c r="F405" s="129"/>
      <c r="H405" s="126"/>
    </row>
    <row r="406" spans="1:8" ht="14.25" customHeight="1">
      <c r="A406" s="28"/>
      <c r="B406" s="29"/>
      <c r="E406" s="128"/>
      <c r="F406" s="129"/>
      <c r="H406" s="126"/>
    </row>
    <row r="407" spans="1:8" ht="14.25" customHeight="1">
      <c r="A407" s="28"/>
      <c r="B407" s="29"/>
      <c r="E407" s="128"/>
      <c r="F407" s="129"/>
      <c r="H407" s="126"/>
    </row>
    <row r="408" spans="1:8" ht="14.25" customHeight="1">
      <c r="A408" s="28"/>
      <c r="B408" s="29"/>
      <c r="E408" s="128"/>
      <c r="F408" s="129"/>
      <c r="H408" s="126"/>
    </row>
    <row r="409" spans="1:8" ht="14.25" customHeight="1">
      <c r="A409" s="28"/>
      <c r="B409" s="29"/>
      <c r="E409" s="128"/>
      <c r="F409" s="129"/>
      <c r="H409" s="126"/>
    </row>
    <row r="410" spans="1:8" ht="14.25" customHeight="1">
      <c r="A410" s="28"/>
      <c r="B410" s="29"/>
      <c r="E410" s="128"/>
      <c r="F410" s="129"/>
      <c r="H410" s="126"/>
    </row>
    <row r="411" spans="1:8" ht="14.25" customHeight="1">
      <c r="A411" s="28"/>
      <c r="B411" s="29"/>
      <c r="E411" s="128"/>
      <c r="F411" s="129"/>
      <c r="H411" s="126"/>
    </row>
    <row r="412" spans="1:8" ht="14.25" customHeight="1">
      <c r="A412" s="28"/>
      <c r="B412" s="29"/>
      <c r="E412" s="128"/>
      <c r="F412" s="129"/>
      <c r="H412" s="126"/>
    </row>
    <row r="413" spans="1:8" ht="14.25" customHeight="1">
      <c r="A413" s="28"/>
      <c r="B413" s="29"/>
      <c r="E413" s="128"/>
      <c r="F413" s="129"/>
      <c r="H413" s="126"/>
    </row>
    <row r="414" spans="1:8" ht="14.25" customHeight="1">
      <c r="A414" s="28"/>
      <c r="B414" s="29"/>
      <c r="E414" s="128"/>
      <c r="F414" s="129"/>
      <c r="H414" s="126"/>
    </row>
    <row r="415" spans="1:8" ht="14.25" customHeight="1">
      <c r="A415" s="28"/>
      <c r="B415" s="29"/>
      <c r="E415" s="128"/>
      <c r="F415" s="129"/>
      <c r="H415" s="126"/>
    </row>
    <row r="416" spans="1:8" ht="14.25" customHeight="1">
      <c r="A416" s="28"/>
      <c r="B416" s="29"/>
      <c r="E416" s="128"/>
      <c r="F416" s="129"/>
      <c r="H416" s="126"/>
    </row>
    <row r="417" spans="1:8" ht="14.25" customHeight="1">
      <c r="A417" s="28"/>
      <c r="B417" s="29"/>
      <c r="E417" s="128"/>
      <c r="F417" s="129"/>
      <c r="H417" s="126"/>
    </row>
    <row r="418" spans="1:8" ht="14.25" customHeight="1">
      <c r="A418" s="28"/>
      <c r="B418" s="29"/>
      <c r="E418" s="128"/>
      <c r="F418" s="129"/>
      <c r="H418" s="126"/>
    </row>
    <row r="419" spans="1:8" ht="14.25" customHeight="1">
      <c r="A419" s="28"/>
      <c r="B419" s="29"/>
      <c r="E419" s="128"/>
      <c r="F419" s="129"/>
      <c r="H419" s="126"/>
    </row>
    <row r="420" spans="1:8" ht="14.25" customHeight="1">
      <c r="A420" s="28"/>
      <c r="B420" s="29"/>
      <c r="E420" s="128"/>
      <c r="F420" s="129"/>
      <c r="H420" s="126"/>
    </row>
    <row r="421" spans="1:8" ht="14.25" customHeight="1">
      <c r="A421" s="28"/>
      <c r="B421" s="29"/>
      <c r="E421" s="128"/>
      <c r="F421" s="129"/>
      <c r="H421" s="126"/>
    </row>
    <row r="422" spans="1:8" ht="14.25" customHeight="1">
      <c r="A422" s="28"/>
      <c r="B422" s="29"/>
      <c r="E422" s="128"/>
      <c r="F422" s="129"/>
      <c r="H422" s="126"/>
    </row>
    <row r="423" spans="1:8" ht="14.25" customHeight="1">
      <c r="A423" s="28"/>
      <c r="B423" s="29"/>
      <c r="E423" s="128"/>
      <c r="F423" s="129"/>
      <c r="H423" s="126"/>
    </row>
    <row r="424" spans="1:8" ht="14.25" customHeight="1">
      <c r="A424" s="28"/>
      <c r="B424" s="29"/>
      <c r="E424" s="128"/>
      <c r="F424" s="129"/>
      <c r="H424" s="126"/>
    </row>
    <row r="425" spans="1:8" ht="14.25" customHeight="1">
      <c r="A425" s="28"/>
      <c r="B425" s="29"/>
      <c r="E425" s="128"/>
      <c r="F425" s="129"/>
      <c r="H425" s="126"/>
    </row>
    <row r="426" spans="1:8" ht="14.25" customHeight="1">
      <c r="A426" s="28"/>
      <c r="B426" s="29"/>
      <c r="E426" s="128"/>
      <c r="F426" s="129"/>
      <c r="H426" s="126"/>
    </row>
    <row r="427" spans="1:8" ht="14.25" customHeight="1">
      <c r="A427" s="28"/>
      <c r="B427" s="29"/>
      <c r="E427" s="128"/>
      <c r="F427" s="129"/>
      <c r="H427" s="126"/>
    </row>
    <row r="428" spans="1:8" ht="14.25" customHeight="1">
      <c r="A428" s="28"/>
      <c r="B428" s="29"/>
      <c r="E428" s="128"/>
      <c r="F428" s="129"/>
      <c r="H428" s="126"/>
    </row>
    <row r="429" spans="1:8" ht="14.25" customHeight="1">
      <c r="A429" s="28"/>
      <c r="B429" s="29"/>
      <c r="E429" s="128"/>
      <c r="F429" s="129"/>
      <c r="H429" s="126"/>
    </row>
    <row r="430" spans="1:8" ht="14.25" customHeight="1">
      <c r="A430" s="28"/>
      <c r="B430" s="29"/>
      <c r="E430" s="128"/>
      <c r="F430" s="129"/>
      <c r="H430" s="126"/>
    </row>
    <row r="431" spans="1:8" ht="14.25" customHeight="1">
      <c r="A431" s="28"/>
      <c r="B431" s="29"/>
      <c r="E431" s="128"/>
      <c r="F431" s="129"/>
      <c r="H431" s="126"/>
    </row>
    <row r="432" spans="1:8" ht="14.25" customHeight="1">
      <c r="A432" s="28"/>
      <c r="B432" s="29"/>
      <c r="E432" s="128"/>
      <c r="F432" s="129"/>
      <c r="H432" s="126"/>
    </row>
    <row r="433" spans="1:8" ht="14.25" customHeight="1">
      <c r="A433" s="28"/>
      <c r="B433" s="29"/>
      <c r="E433" s="128"/>
      <c r="F433" s="129"/>
      <c r="H433" s="126"/>
    </row>
    <row r="434" spans="1:8" ht="14.25" customHeight="1">
      <c r="A434" s="28"/>
      <c r="B434" s="29"/>
      <c r="E434" s="128"/>
      <c r="F434" s="129"/>
      <c r="H434" s="126"/>
    </row>
    <row r="435" spans="1:8" ht="14.25" customHeight="1">
      <c r="A435" s="28"/>
      <c r="B435" s="29"/>
      <c r="E435" s="128"/>
      <c r="F435" s="129"/>
      <c r="H435" s="126"/>
    </row>
    <row r="436" spans="1:8" ht="14.25" customHeight="1">
      <c r="A436" s="28"/>
      <c r="B436" s="29"/>
      <c r="E436" s="128"/>
      <c r="F436" s="129"/>
      <c r="H436" s="126"/>
    </row>
    <row r="437" spans="1:8" ht="14.25" customHeight="1">
      <c r="A437" s="28"/>
      <c r="B437" s="29"/>
      <c r="E437" s="128"/>
      <c r="F437" s="129"/>
      <c r="H437" s="126"/>
    </row>
    <row r="438" spans="1:8" ht="14.25" customHeight="1">
      <c r="A438" s="28"/>
      <c r="B438" s="29"/>
      <c r="E438" s="128"/>
      <c r="F438" s="129"/>
      <c r="H438" s="126"/>
    </row>
    <row r="439" spans="1:8" ht="14.25" customHeight="1">
      <c r="A439" s="28"/>
      <c r="B439" s="29"/>
      <c r="E439" s="128"/>
      <c r="F439" s="129"/>
      <c r="H439" s="126"/>
    </row>
    <row r="440" spans="1:8" ht="14.25" customHeight="1">
      <c r="A440" s="28"/>
      <c r="B440" s="29"/>
      <c r="E440" s="128"/>
      <c r="F440" s="129"/>
      <c r="H440" s="126"/>
    </row>
    <row r="441" spans="1:8" ht="14.25" customHeight="1">
      <c r="A441" s="28"/>
      <c r="B441" s="29"/>
      <c r="E441" s="128"/>
      <c r="F441" s="129"/>
      <c r="H441" s="126"/>
    </row>
    <row r="442" spans="1:8" ht="14.25" customHeight="1">
      <c r="A442" s="28"/>
      <c r="B442" s="29"/>
      <c r="E442" s="128"/>
      <c r="F442" s="129"/>
      <c r="H442" s="126"/>
    </row>
    <row r="443" spans="1:8" ht="14.25" customHeight="1">
      <c r="A443" s="28"/>
      <c r="B443" s="29"/>
      <c r="E443" s="128"/>
      <c r="F443" s="129"/>
      <c r="H443" s="126"/>
    </row>
    <row r="444" spans="1:8" ht="14.25" customHeight="1">
      <c r="A444" s="28"/>
      <c r="B444" s="29"/>
      <c r="E444" s="128"/>
      <c r="F444" s="129"/>
      <c r="H444" s="126"/>
    </row>
    <row r="445" spans="1:8" ht="14.25" customHeight="1">
      <c r="A445" s="28"/>
      <c r="B445" s="29"/>
      <c r="E445" s="128"/>
      <c r="F445" s="129"/>
      <c r="H445" s="126"/>
    </row>
    <row r="446" spans="1:8" ht="14.25" customHeight="1">
      <c r="A446" s="28"/>
      <c r="B446" s="29"/>
      <c r="E446" s="128"/>
      <c r="F446" s="129"/>
      <c r="H446" s="126"/>
    </row>
    <row r="447" spans="1:8" ht="14.25" customHeight="1">
      <c r="A447" s="28"/>
      <c r="B447" s="29"/>
      <c r="E447" s="128"/>
      <c r="F447" s="129"/>
      <c r="H447" s="126"/>
    </row>
    <row r="448" spans="1:8" ht="14.25" customHeight="1">
      <c r="A448" s="28"/>
      <c r="B448" s="29"/>
      <c r="E448" s="128"/>
      <c r="F448" s="129"/>
      <c r="H448" s="126"/>
    </row>
    <row r="449" spans="1:8" ht="14.25" customHeight="1">
      <c r="A449" s="28"/>
      <c r="B449" s="29"/>
      <c r="E449" s="128"/>
      <c r="F449" s="129"/>
      <c r="H449" s="126"/>
    </row>
    <row r="450" spans="1:8" ht="14.25" customHeight="1">
      <c r="A450" s="28"/>
      <c r="B450" s="29"/>
      <c r="E450" s="128"/>
      <c r="F450" s="129"/>
      <c r="H450" s="126"/>
    </row>
    <row r="451" spans="1:8" ht="14.25" customHeight="1">
      <c r="A451" s="28"/>
      <c r="B451" s="29"/>
      <c r="E451" s="128"/>
      <c r="F451" s="129"/>
      <c r="H451" s="126"/>
    </row>
    <row r="452" spans="1:8" ht="14.25" customHeight="1">
      <c r="A452" s="28"/>
      <c r="B452" s="29"/>
      <c r="E452" s="128"/>
      <c r="F452" s="129"/>
      <c r="H452" s="126"/>
    </row>
    <row r="453" spans="1:8" ht="14.25" customHeight="1">
      <c r="A453" s="28"/>
      <c r="B453" s="29"/>
      <c r="E453" s="128"/>
      <c r="F453" s="129"/>
      <c r="H453" s="126"/>
    </row>
    <row r="454" spans="1:8" ht="14.25" customHeight="1">
      <c r="A454" s="28"/>
      <c r="B454" s="29"/>
      <c r="E454" s="128"/>
      <c r="F454" s="129"/>
      <c r="H454" s="126"/>
    </row>
    <row r="455" spans="1:8" ht="14.25" customHeight="1">
      <c r="A455" s="28"/>
      <c r="B455" s="29"/>
      <c r="E455" s="128"/>
      <c r="F455" s="129"/>
      <c r="H455" s="126"/>
    </row>
    <row r="456" spans="1:8" ht="14.25" customHeight="1">
      <c r="A456" s="28"/>
      <c r="B456" s="29"/>
      <c r="E456" s="128"/>
      <c r="F456" s="129"/>
      <c r="H456" s="126"/>
    </row>
    <row r="457" spans="1:8" ht="14.25" customHeight="1">
      <c r="A457" s="28"/>
      <c r="B457" s="29"/>
      <c r="E457" s="128"/>
      <c r="F457" s="129"/>
      <c r="H457" s="126"/>
    </row>
    <row r="458" spans="1:8" ht="14.25" customHeight="1">
      <c r="A458" s="28"/>
      <c r="B458" s="29"/>
      <c r="E458" s="128"/>
      <c r="F458" s="129"/>
      <c r="H458" s="126"/>
    </row>
    <row r="459" spans="1:8" ht="14.25" customHeight="1">
      <c r="A459" s="28"/>
      <c r="B459" s="29"/>
      <c r="E459" s="128"/>
      <c r="F459" s="129"/>
      <c r="H459" s="126"/>
    </row>
    <row r="460" spans="1:8" ht="14.25" customHeight="1">
      <c r="A460" s="28"/>
      <c r="B460" s="29"/>
      <c r="E460" s="128"/>
      <c r="F460" s="129"/>
      <c r="H460" s="126"/>
    </row>
    <row r="461" spans="1:8" ht="14.25" customHeight="1">
      <c r="A461" s="28"/>
      <c r="B461" s="29"/>
      <c r="E461" s="128"/>
      <c r="F461" s="129"/>
      <c r="H461" s="126"/>
    </row>
    <row r="462" spans="1:8" ht="14.25" customHeight="1">
      <c r="A462" s="28"/>
      <c r="B462" s="29"/>
      <c r="E462" s="128"/>
      <c r="F462" s="129"/>
      <c r="H462" s="126"/>
    </row>
    <row r="463" spans="1:8" ht="14.25" customHeight="1">
      <c r="A463" s="28"/>
      <c r="B463" s="29"/>
      <c r="E463" s="128"/>
      <c r="F463" s="129"/>
      <c r="H463" s="126"/>
    </row>
    <row r="464" spans="1:8" ht="14.25" customHeight="1">
      <c r="A464" s="28"/>
      <c r="B464" s="29"/>
      <c r="E464" s="128"/>
      <c r="F464" s="129"/>
      <c r="H464" s="126"/>
    </row>
    <row r="465" spans="1:8" ht="14.25" customHeight="1">
      <c r="A465" s="28"/>
      <c r="B465" s="29"/>
      <c r="E465" s="128"/>
      <c r="F465" s="129"/>
      <c r="H465" s="126"/>
    </row>
    <row r="466" spans="1:8" ht="14.25" customHeight="1">
      <c r="A466" s="28"/>
      <c r="B466" s="29"/>
      <c r="E466" s="128"/>
      <c r="F466" s="129"/>
      <c r="H466" s="126"/>
    </row>
    <row r="467" spans="1:8" ht="14.25" customHeight="1">
      <c r="A467" s="28"/>
      <c r="B467" s="29"/>
      <c r="E467" s="128"/>
      <c r="F467" s="129"/>
      <c r="H467" s="126"/>
    </row>
    <row r="468" spans="1:8" ht="14.25" customHeight="1">
      <c r="A468" s="28"/>
      <c r="B468" s="29"/>
      <c r="E468" s="128"/>
      <c r="F468" s="129"/>
      <c r="H468" s="126"/>
    </row>
    <row r="469" spans="1:8" ht="14.25" customHeight="1">
      <c r="A469" s="28"/>
      <c r="B469" s="29"/>
      <c r="E469" s="128"/>
      <c r="F469" s="129"/>
      <c r="H469" s="126"/>
    </row>
    <row r="470" spans="1:8" ht="14.25" customHeight="1">
      <c r="A470" s="28"/>
      <c r="B470" s="29"/>
      <c r="E470" s="128"/>
      <c r="F470" s="129"/>
      <c r="H470" s="126"/>
    </row>
    <row r="471" spans="1:8" ht="14.25" customHeight="1">
      <c r="A471" s="28"/>
      <c r="B471" s="29"/>
      <c r="E471" s="128"/>
      <c r="F471" s="129"/>
      <c r="H471" s="126"/>
    </row>
    <row r="472" spans="1:8" ht="14.25" customHeight="1">
      <c r="A472" s="28"/>
      <c r="B472" s="29"/>
      <c r="E472" s="128"/>
      <c r="F472" s="129"/>
      <c r="H472" s="126"/>
    </row>
    <row r="473" spans="1:8" ht="14.25" customHeight="1">
      <c r="A473" s="28"/>
      <c r="B473" s="29"/>
      <c r="E473" s="128"/>
      <c r="F473" s="129"/>
      <c r="H473" s="126"/>
    </row>
    <row r="474" spans="1:8" ht="14.25" customHeight="1">
      <c r="A474" s="28"/>
      <c r="B474" s="29"/>
      <c r="E474" s="128"/>
      <c r="F474" s="129"/>
      <c r="H474" s="126"/>
    </row>
    <row r="475" spans="1:8" ht="14.25" customHeight="1">
      <c r="A475" s="28"/>
      <c r="B475" s="29"/>
      <c r="E475" s="128"/>
      <c r="F475" s="129"/>
      <c r="H475" s="126"/>
    </row>
    <row r="476" spans="1:8" ht="14.25" customHeight="1">
      <c r="A476" s="28"/>
      <c r="B476" s="29"/>
      <c r="E476" s="128"/>
      <c r="F476" s="129"/>
      <c r="H476" s="126"/>
    </row>
    <row r="477" spans="1:8" ht="14.25" customHeight="1">
      <c r="A477" s="28"/>
      <c r="B477" s="29"/>
      <c r="E477" s="128"/>
      <c r="F477" s="129"/>
      <c r="H477" s="126"/>
    </row>
    <row r="478" spans="1:8" ht="14.25" customHeight="1">
      <c r="A478" s="28"/>
      <c r="B478" s="29"/>
      <c r="E478" s="128"/>
      <c r="F478" s="129"/>
      <c r="H478" s="126"/>
    </row>
    <row r="479" spans="1:8" ht="14.25" customHeight="1">
      <c r="A479" s="28"/>
      <c r="B479" s="29"/>
      <c r="E479" s="128"/>
      <c r="F479" s="129"/>
      <c r="H479" s="126"/>
    </row>
    <row r="480" spans="1:8" ht="14.25" customHeight="1">
      <c r="A480" s="28"/>
      <c r="B480" s="29"/>
      <c r="E480" s="128"/>
      <c r="F480" s="129"/>
      <c r="H480" s="126"/>
    </row>
    <row r="481" spans="1:8" ht="14.25" customHeight="1">
      <c r="A481" s="28"/>
      <c r="B481" s="29"/>
      <c r="E481" s="128"/>
      <c r="F481" s="129"/>
      <c r="H481" s="126"/>
    </row>
    <row r="482" spans="1:8" ht="14.25" customHeight="1">
      <c r="A482" s="28"/>
      <c r="B482" s="29"/>
      <c r="E482" s="128"/>
      <c r="F482" s="129"/>
      <c r="H482" s="126"/>
    </row>
    <row r="483" spans="1:8" ht="14.25" customHeight="1">
      <c r="A483" s="28"/>
      <c r="B483" s="29"/>
      <c r="E483" s="128"/>
      <c r="F483" s="129"/>
      <c r="H483" s="126"/>
    </row>
    <row r="484" spans="1:8" ht="14.25" customHeight="1">
      <c r="A484" s="28"/>
      <c r="B484" s="29"/>
      <c r="E484" s="128"/>
      <c r="F484" s="129"/>
      <c r="H484" s="126"/>
    </row>
    <row r="485" spans="1:8" ht="14.25" customHeight="1">
      <c r="A485" s="28"/>
      <c r="B485" s="29"/>
      <c r="E485" s="128"/>
      <c r="F485" s="129"/>
      <c r="H485" s="126"/>
    </row>
    <row r="486" spans="1:8" ht="14.25" customHeight="1">
      <c r="A486" s="28"/>
      <c r="B486" s="29"/>
      <c r="E486" s="128"/>
      <c r="F486" s="129"/>
      <c r="H486" s="126"/>
    </row>
    <row r="487" spans="1:8" ht="14.25" customHeight="1">
      <c r="A487" s="28"/>
      <c r="B487" s="29"/>
      <c r="E487" s="128"/>
      <c r="F487" s="129"/>
      <c r="H487" s="126"/>
    </row>
    <row r="488" spans="1:8" ht="14.25" customHeight="1">
      <c r="A488" s="28"/>
      <c r="B488" s="29"/>
      <c r="E488" s="128"/>
      <c r="F488" s="129"/>
      <c r="H488" s="126"/>
    </row>
    <row r="489" spans="1:8" ht="14.25" customHeight="1">
      <c r="A489" s="28"/>
      <c r="B489" s="29"/>
      <c r="E489" s="128"/>
      <c r="F489" s="129"/>
      <c r="H489" s="126"/>
    </row>
    <row r="490" spans="1:8" ht="14.25" customHeight="1">
      <c r="A490" s="28"/>
      <c r="B490" s="29"/>
      <c r="E490" s="128"/>
      <c r="F490" s="129"/>
      <c r="H490" s="126"/>
    </row>
    <row r="491" spans="1:8" ht="14.25" customHeight="1">
      <c r="A491" s="28"/>
      <c r="B491" s="29"/>
      <c r="E491" s="128"/>
      <c r="F491" s="129"/>
      <c r="H491" s="126"/>
    </row>
    <row r="492" spans="1:8" ht="14.25" customHeight="1">
      <c r="A492" s="28"/>
      <c r="B492" s="29"/>
      <c r="E492" s="128"/>
      <c r="F492" s="129"/>
      <c r="H492" s="126"/>
    </row>
    <row r="493" spans="1:8" ht="14.25" customHeight="1">
      <c r="A493" s="28"/>
      <c r="B493" s="29"/>
      <c r="E493" s="128"/>
      <c r="F493" s="129"/>
      <c r="H493" s="126"/>
    </row>
    <row r="494" spans="1:8" ht="14.25" customHeight="1">
      <c r="A494" s="28"/>
      <c r="B494" s="29"/>
      <c r="E494" s="128"/>
      <c r="F494" s="129"/>
      <c r="H494" s="126"/>
    </row>
    <row r="495" spans="1:8" ht="14.25" customHeight="1">
      <c r="A495" s="28"/>
      <c r="B495" s="29"/>
      <c r="E495" s="128"/>
      <c r="F495" s="129"/>
      <c r="H495" s="126"/>
    </row>
    <row r="496" spans="1:8" ht="14.25" customHeight="1">
      <c r="A496" s="28"/>
      <c r="B496" s="29"/>
      <c r="E496" s="128"/>
      <c r="F496" s="129"/>
      <c r="H496" s="126"/>
    </row>
    <row r="497" spans="1:8" ht="14.25" customHeight="1">
      <c r="A497" s="28"/>
      <c r="B497" s="29"/>
      <c r="E497" s="128"/>
      <c r="F497" s="129"/>
      <c r="H497" s="126"/>
    </row>
    <row r="498" spans="1:8" ht="14.25" customHeight="1">
      <c r="A498" s="28"/>
      <c r="B498" s="29"/>
      <c r="E498" s="128"/>
      <c r="F498" s="129"/>
      <c r="H498" s="126"/>
    </row>
    <row r="499" spans="1:8" ht="14.25" customHeight="1">
      <c r="A499" s="28"/>
      <c r="B499" s="29"/>
      <c r="E499" s="128"/>
      <c r="F499" s="129"/>
      <c r="H499" s="126"/>
    </row>
    <row r="500" spans="1:8" ht="14.25" customHeight="1">
      <c r="A500" s="28"/>
      <c r="B500" s="29"/>
      <c r="E500" s="128"/>
      <c r="F500" s="129"/>
      <c r="H500" s="126"/>
    </row>
    <row r="501" spans="1:8" ht="14.25" customHeight="1">
      <c r="A501" s="28"/>
      <c r="B501" s="29"/>
      <c r="E501" s="128"/>
      <c r="F501" s="129"/>
      <c r="H501" s="126"/>
    </row>
    <row r="502" spans="1:8" ht="14.25" customHeight="1">
      <c r="A502" s="28"/>
      <c r="B502" s="29"/>
      <c r="E502" s="128"/>
      <c r="F502" s="129"/>
      <c r="H502" s="126"/>
    </row>
    <row r="503" spans="1:8" ht="14.25" customHeight="1">
      <c r="A503" s="28"/>
      <c r="B503" s="29"/>
      <c r="E503" s="128"/>
      <c r="F503" s="129"/>
      <c r="H503" s="126"/>
    </row>
    <row r="504" spans="1:8" ht="14.25" customHeight="1">
      <c r="A504" s="28"/>
      <c r="B504" s="29"/>
      <c r="E504" s="128"/>
      <c r="F504" s="129"/>
      <c r="H504" s="126"/>
    </row>
    <row r="505" spans="1:8" ht="14.25" customHeight="1">
      <c r="A505" s="28"/>
      <c r="B505" s="29"/>
      <c r="E505" s="128"/>
      <c r="F505" s="129"/>
      <c r="H505" s="126"/>
    </row>
    <row r="506" spans="1:8" ht="14.25" customHeight="1">
      <c r="A506" s="28"/>
      <c r="B506" s="29"/>
      <c r="E506" s="128"/>
      <c r="F506" s="129"/>
      <c r="H506" s="126"/>
    </row>
    <row r="507" spans="1:8" ht="14.25" customHeight="1">
      <c r="A507" s="28"/>
      <c r="B507" s="29"/>
      <c r="E507" s="128"/>
      <c r="F507" s="129"/>
      <c r="H507" s="126"/>
    </row>
    <row r="508" spans="1:8" ht="14.25" customHeight="1">
      <c r="A508" s="28"/>
      <c r="B508" s="29"/>
      <c r="E508" s="128"/>
      <c r="F508" s="129"/>
      <c r="H508" s="126"/>
    </row>
    <row r="509" spans="1:8" ht="14.25" customHeight="1">
      <c r="A509" s="28"/>
      <c r="B509" s="29"/>
      <c r="E509" s="128"/>
      <c r="F509" s="129"/>
      <c r="H509" s="126"/>
    </row>
    <row r="510" spans="1:8" ht="14.25" customHeight="1">
      <c r="A510" s="28"/>
      <c r="B510" s="29"/>
      <c r="E510" s="128"/>
      <c r="F510" s="129"/>
      <c r="H510" s="126"/>
    </row>
    <row r="511" spans="1:8" ht="14.25" customHeight="1">
      <c r="A511" s="28"/>
      <c r="B511" s="29"/>
      <c r="E511" s="128"/>
      <c r="F511" s="129"/>
      <c r="H511" s="126"/>
    </row>
    <row r="512" spans="1:8" ht="14.25" customHeight="1">
      <c r="A512" s="28"/>
      <c r="B512" s="29"/>
      <c r="E512" s="128"/>
      <c r="F512" s="129"/>
      <c r="H512" s="126"/>
    </row>
    <row r="513" spans="1:8" ht="14.25" customHeight="1">
      <c r="A513" s="28"/>
      <c r="B513" s="29"/>
      <c r="E513" s="128"/>
      <c r="F513" s="129"/>
      <c r="H513" s="126"/>
    </row>
    <row r="514" spans="1:8" ht="14.25" customHeight="1">
      <c r="A514" s="28"/>
      <c r="B514" s="29"/>
      <c r="E514" s="128"/>
      <c r="F514" s="129"/>
      <c r="H514" s="126"/>
    </row>
    <row r="515" spans="1:8" ht="14.25" customHeight="1">
      <c r="A515" s="28"/>
      <c r="B515" s="29"/>
      <c r="E515" s="128"/>
      <c r="F515" s="129"/>
      <c r="H515" s="126"/>
    </row>
    <row r="516" spans="1:8" ht="14.25" customHeight="1">
      <c r="A516" s="28"/>
      <c r="B516" s="29"/>
      <c r="E516" s="128"/>
      <c r="F516" s="129"/>
      <c r="H516" s="126"/>
    </row>
    <row r="517" spans="1:8" ht="14.25" customHeight="1">
      <c r="A517" s="28"/>
      <c r="B517" s="29"/>
      <c r="E517" s="128"/>
      <c r="F517" s="129"/>
      <c r="H517" s="126"/>
    </row>
    <row r="518" spans="1:8" ht="14.25" customHeight="1">
      <c r="A518" s="28"/>
      <c r="B518" s="29"/>
      <c r="E518" s="128"/>
      <c r="F518" s="129"/>
      <c r="H518" s="126"/>
    </row>
    <row r="519" spans="1:8" ht="14.25" customHeight="1">
      <c r="A519" s="28"/>
      <c r="B519" s="29"/>
      <c r="E519" s="128"/>
      <c r="F519" s="129"/>
      <c r="H519" s="126"/>
    </row>
    <row r="520" spans="1:8" ht="14.25" customHeight="1">
      <c r="A520" s="28"/>
      <c r="B520" s="29"/>
      <c r="E520" s="128"/>
      <c r="F520" s="129"/>
      <c r="H520" s="126"/>
    </row>
    <row r="521" spans="1:8" ht="14.25" customHeight="1">
      <c r="A521" s="28"/>
      <c r="B521" s="29"/>
      <c r="E521" s="128"/>
      <c r="F521" s="129"/>
      <c r="H521" s="126"/>
    </row>
    <row r="522" spans="1:8" ht="14.25" customHeight="1">
      <c r="A522" s="28"/>
      <c r="B522" s="29"/>
      <c r="E522" s="128"/>
      <c r="F522" s="129"/>
      <c r="H522" s="126"/>
    </row>
    <row r="523" spans="1:8" ht="14.25" customHeight="1">
      <c r="A523" s="28"/>
      <c r="B523" s="29"/>
      <c r="E523" s="128"/>
      <c r="F523" s="129"/>
      <c r="H523" s="126"/>
    </row>
    <row r="524" spans="1:8" ht="14.25" customHeight="1">
      <c r="A524" s="28"/>
      <c r="B524" s="29"/>
      <c r="E524" s="128"/>
      <c r="F524" s="129"/>
      <c r="H524" s="126"/>
    </row>
    <row r="525" spans="1:8" ht="14.25" customHeight="1">
      <c r="A525" s="28"/>
      <c r="B525" s="29"/>
      <c r="E525" s="128"/>
      <c r="F525" s="129"/>
      <c r="H525" s="126"/>
    </row>
    <row r="526" spans="1:8" ht="14.25" customHeight="1">
      <c r="A526" s="28"/>
      <c r="B526" s="29"/>
      <c r="E526" s="128"/>
      <c r="F526" s="129"/>
      <c r="H526" s="126"/>
    </row>
    <row r="527" spans="1:8" ht="14.25" customHeight="1">
      <c r="A527" s="28"/>
      <c r="B527" s="29"/>
      <c r="E527" s="128"/>
      <c r="F527" s="129"/>
      <c r="H527" s="126"/>
    </row>
    <row r="528" spans="1:8" ht="14.25" customHeight="1">
      <c r="A528" s="28"/>
      <c r="B528" s="29"/>
      <c r="E528" s="128"/>
      <c r="F528" s="129"/>
      <c r="H528" s="126"/>
    </row>
    <row r="529" spans="1:8" ht="14.25" customHeight="1">
      <c r="A529" s="28"/>
      <c r="B529" s="29"/>
      <c r="E529" s="128"/>
      <c r="F529" s="129"/>
      <c r="H529" s="126"/>
    </row>
    <row r="530" spans="1:8" ht="14.25" customHeight="1">
      <c r="A530" s="28"/>
      <c r="B530" s="29"/>
      <c r="E530" s="128"/>
      <c r="F530" s="129"/>
      <c r="H530" s="126"/>
    </row>
    <row r="531" spans="1:8" ht="14.25" customHeight="1">
      <c r="A531" s="28"/>
      <c r="B531" s="29"/>
      <c r="E531" s="128"/>
      <c r="F531" s="129"/>
      <c r="H531" s="126"/>
    </row>
    <row r="532" spans="1:8" ht="14.25" customHeight="1">
      <c r="A532" s="28"/>
      <c r="B532" s="29"/>
      <c r="E532" s="128"/>
      <c r="F532" s="129"/>
      <c r="H532" s="126"/>
    </row>
    <row r="533" spans="1:8" ht="14.25" customHeight="1">
      <c r="A533" s="28"/>
      <c r="B533" s="29"/>
      <c r="E533" s="128"/>
      <c r="F533" s="129"/>
      <c r="H533" s="126"/>
    </row>
    <row r="534" spans="1:8" ht="14.25" customHeight="1">
      <c r="A534" s="28"/>
      <c r="B534" s="29"/>
      <c r="E534" s="128"/>
      <c r="F534" s="129"/>
      <c r="H534" s="126"/>
    </row>
    <row r="535" spans="1:8" ht="14.25" customHeight="1">
      <c r="A535" s="28"/>
      <c r="B535" s="29"/>
      <c r="E535" s="128"/>
      <c r="F535" s="129"/>
      <c r="H535" s="126"/>
    </row>
    <row r="536" spans="1:8" ht="14.25" customHeight="1">
      <c r="A536" s="28"/>
      <c r="B536" s="29"/>
      <c r="E536" s="128"/>
      <c r="F536" s="129"/>
      <c r="H536" s="126"/>
    </row>
    <row r="537" spans="1:8" ht="14.25" customHeight="1">
      <c r="A537" s="28"/>
      <c r="B537" s="29"/>
      <c r="E537" s="128"/>
      <c r="F537" s="129"/>
      <c r="H537" s="126"/>
    </row>
    <row r="538" spans="1:8" ht="14.25" customHeight="1">
      <c r="A538" s="28"/>
      <c r="B538" s="29"/>
      <c r="E538" s="128"/>
      <c r="F538" s="129"/>
      <c r="H538" s="126"/>
    </row>
    <row r="539" spans="1:8" ht="14.25" customHeight="1">
      <c r="A539" s="28"/>
      <c r="B539" s="29"/>
      <c r="E539" s="128"/>
      <c r="F539" s="129"/>
      <c r="H539" s="126"/>
    </row>
    <row r="540" spans="1:8" ht="14.25" customHeight="1">
      <c r="A540" s="28"/>
      <c r="B540" s="29"/>
      <c r="E540" s="128"/>
      <c r="F540" s="129"/>
      <c r="H540" s="126"/>
    </row>
    <row r="541" spans="1:8" ht="14.25" customHeight="1">
      <c r="A541" s="28"/>
      <c r="B541" s="29"/>
      <c r="E541" s="128"/>
      <c r="F541" s="129"/>
      <c r="H541" s="126"/>
    </row>
    <row r="542" spans="1:8" ht="14.25" customHeight="1">
      <c r="A542" s="28"/>
      <c r="B542" s="29"/>
      <c r="E542" s="128"/>
      <c r="F542" s="129"/>
      <c r="H542" s="126"/>
    </row>
    <row r="543" spans="1:8" ht="14.25" customHeight="1">
      <c r="A543" s="28"/>
      <c r="B543" s="29"/>
      <c r="E543" s="128"/>
      <c r="F543" s="129"/>
      <c r="H543" s="126"/>
    </row>
    <row r="544" spans="1:8" ht="14.25" customHeight="1">
      <c r="A544" s="28"/>
      <c r="B544" s="29"/>
      <c r="E544" s="128"/>
      <c r="F544" s="129"/>
      <c r="H544" s="126"/>
    </row>
    <row r="545" spans="1:8" ht="14.25" customHeight="1">
      <c r="A545" s="28"/>
      <c r="B545" s="29"/>
      <c r="E545" s="128"/>
      <c r="F545" s="129"/>
      <c r="H545" s="126"/>
    </row>
    <row r="546" spans="1:8" ht="14.25" customHeight="1">
      <c r="A546" s="28"/>
      <c r="B546" s="29"/>
      <c r="E546" s="128"/>
      <c r="F546" s="129"/>
      <c r="H546" s="126"/>
    </row>
    <row r="547" spans="1:8" ht="14.25" customHeight="1">
      <c r="A547" s="28"/>
      <c r="B547" s="29"/>
      <c r="E547" s="128"/>
      <c r="F547" s="129"/>
      <c r="H547" s="126"/>
    </row>
    <row r="548" spans="1:8" ht="14.25" customHeight="1">
      <c r="A548" s="28"/>
      <c r="B548" s="29"/>
      <c r="E548" s="128"/>
      <c r="F548" s="129"/>
      <c r="H548" s="126"/>
    </row>
    <row r="549" spans="1:8" ht="14.25" customHeight="1">
      <c r="A549" s="28"/>
      <c r="B549" s="29"/>
      <c r="E549" s="128"/>
      <c r="F549" s="129"/>
      <c r="H549" s="126"/>
    </row>
    <row r="550" spans="1:8" ht="14.25" customHeight="1">
      <c r="A550" s="28"/>
      <c r="B550" s="29"/>
      <c r="E550" s="128"/>
      <c r="F550" s="129"/>
      <c r="H550" s="126"/>
    </row>
    <row r="551" spans="1:8" ht="14.25" customHeight="1">
      <c r="A551" s="28"/>
      <c r="B551" s="29"/>
      <c r="E551" s="128"/>
      <c r="F551" s="129"/>
      <c r="H551" s="126"/>
    </row>
    <row r="552" spans="1:8" ht="14.25" customHeight="1">
      <c r="A552" s="28"/>
      <c r="B552" s="29"/>
      <c r="E552" s="128"/>
      <c r="F552" s="129"/>
      <c r="H552" s="126"/>
    </row>
    <row r="553" spans="1:8" ht="14.25" customHeight="1">
      <c r="A553" s="28"/>
      <c r="B553" s="29"/>
      <c r="E553" s="128"/>
      <c r="F553" s="129"/>
      <c r="H553" s="126"/>
    </row>
    <row r="554" spans="1:8" ht="14.25" customHeight="1">
      <c r="A554" s="28"/>
      <c r="B554" s="29"/>
      <c r="E554" s="128"/>
      <c r="F554" s="129"/>
      <c r="H554" s="126"/>
    </row>
    <row r="555" spans="1:8" ht="14.25" customHeight="1">
      <c r="A555" s="28"/>
      <c r="B555" s="29"/>
      <c r="E555" s="128"/>
      <c r="F555" s="129"/>
      <c r="H555" s="126"/>
    </row>
    <row r="556" spans="1:8" ht="14.25" customHeight="1">
      <c r="A556" s="28"/>
      <c r="B556" s="29"/>
      <c r="E556" s="128"/>
      <c r="F556" s="129"/>
      <c r="H556" s="126"/>
    </row>
    <row r="557" spans="1:8" ht="14.25" customHeight="1">
      <c r="A557" s="28"/>
      <c r="B557" s="29"/>
      <c r="E557" s="128"/>
      <c r="F557" s="129"/>
      <c r="H557" s="126"/>
    </row>
    <row r="558" spans="1:8" ht="14.25" customHeight="1">
      <c r="A558" s="28"/>
      <c r="B558" s="29"/>
      <c r="E558" s="128"/>
      <c r="F558" s="129"/>
      <c r="H558" s="126"/>
    </row>
    <row r="559" spans="1:8" ht="14.25" customHeight="1">
      <c r="A559" s="28"/>
      <c r="B559" s="29"/>
      <c r="E559" s="128"/>
      <c r="F559" s="129"/>
      <c r="H559" s="126"/>
    </row>
    <row r="560" spans="1:8" ht="14.25" customHeight="1">
      <c r="A560" s="28"/>
      <c r="B560" s="29"/>
      <c r="E560" s="128"/>
      <c r="F560" s="129"/>
      <c r="H560" s="126"/>
    </row>
    <row r="561" spans="1:8" ht="14.25" customHeight="1">
      <c r="A561" s="28"/>
      <c r="B561" s="29"/>
      <c r="E561" s="128"/>
      <c r="F561" s="129"/>
      <c r="H561" s="126"/>
    </row>
    <row r="562" spans="1:8" ht="14.25" customHeight="1">
      <c r="A562" s="28"/>
      <c r="B562" s="29"/>
      <c r="E562" s="128"/>
      <c r="F562" s="129"/>
      <c r="H562" s="126"/>
    </row>
    <row r="563" spans="1:8" ht="14.25" customHeight="1">
      <c r="A563" s="28"/>
      <c r="B563" s="29"/>
      <c r="E563" s="128"/>
      <c r="F563" s="129"/>
      <c r="H563" s="126"/>
    </row>
    <row r="564" spans="1:8" ht="14.25" customHeight="1">
      <c r="A564" s="28"/>
      <c r="B564" s="29"/>
      <c r="E564" s="128"/>
      <c r="F564" s="129"/>
      <c r="H564" s="126"/>
    </row>
    <row r="565" spans="1:8" ht="14.25" customHeight="1">
      <c r="A565" s="28"/>
      <c r="B565" s="29"/>
      <c r="E565" s="128"/>
      <c r="F565" s="129"/>
      <c r="H565" s="126"/>
    </row>
    <row r="566" spans="1:8" ht="14.25" customHeight="1">
      <c r="A566" s="28"/>
      <c r="B566" s="29"/>
      <c r="E566" s="128"/>
      <c r="F566" s="129"/>
      <c r="H566" s="126"/>
    </row>
    <row r="567" spans="1:8" ht="14.25" customHeight="1">
      <c r="A567" s="28"/>
      <c r="B567" s="29"/>
      <c r="E567" s="128"/>
      <c r="F567" s="129"/>
      <c r="H567" s="126"/>
    </row>
    <row r="568" spans="1:8" ht="14.25" customHeight="1">
      <c r="A568" s="28"/>
      <c r="B568" s="29"/>
      <c r="E568" s="128"/>
      <c r="F568" s="129"/>
      <c r="H568" s="126"/>
    </row>
    <row r="569" spans="1:8" ht="14.25" customHeight="1">
      <c r="A569" s="28"/>
      <c r="B569" s="29"/>
      <c r="E569" s="128"/>
      <c r="F569" s="129"/>
      <c r="H569" s="126"/>
    </row>
    <row r="570" spans="1:8" ht="14.25" customHeight="1">
      <c r="A570" s="28"/>
      <c r="B570" s="29"/>
      <c r="E570" s="128"/>
      <c r="F570" s="129"/>
      <c r="H570" s="126"/>
    </row>
    <row r="571" spans="1:8" ht="14.25" customHeight="1">
      <c r="A571" s="28"/>
      <c r="B571" s="29"/>
      <c r="E571" s="128"/>
      <c r="F571" s="129"/>
      <c r="H571" s="126"/>
    </row>
    <row r="572" spans="1:8" ht="14.25" customHeight="1">
      <c r="A572" s="28"/>
      <c r="B572" s="29"/>
      <c r="E572" s="128"/>
      <c r="F572" s="129"/>
      <c r="H572" s="126"/>
    </row>
    <row r="573" spans="1:8" ht="14.25" customHeight="1">
      <c r="A573" s="28"/>
      <c r="B573" s="29"/>
      <c r="E573" s="128"/>
      <c r="F573" s="129"/>
      <c r="H573" s="126"/>
    </row>
    <row r="574" spans="1:8" ht="14.25" customHeight="1">
      <c r="A574" s="28"/>
      <c r="B574" s="29"/>
      <c r="E574" s="128"/>
      <c r="F574" s="129"/>
      <c r="H574" s="126"/>
    </row>
    <row r="575" spans="1:8" ht="14.25" customHeight="1">
      <c r="A575" s="28"/>
      <c r="B575" s="29"/>
      <c r="E575" s="128"/>
      <c r="F575" s="129"/>
      <c r="H575" s="126"/>
    </row>
    <row r="576" spans="1:8" ht="14.25" customHeight="1">
      <c r="A576" s="28"/>
      <c r="B576" s="29"/>
      <c r="E576" s="128"/>
      <c r="F576" s="129"/>
      <c r="H576" s="126"/>
    </row>
    <row r="577" spans="1:8" ht="14.25" customHeight="1">
      <c r="A577" s="28"/>
      <c r="B577" s="29"/>
      <c r="E577" s="128"/>
      <c r="F577" s="129"/>
      <c r="H577" s="126"/>
    </row>
    <row r="578" spans="1:8" ht="14.25" customHeight="1">
      <c r="A578" s="28"/>
      <c r="B578" s="29"/>
      <c r="E578" s="128"/>
      <c r="F578" s="129"/>
      <c r="H578" s="126"/>
    </row>
    <row r="579" spans="1:8" ht="14.25" customHeight="1">
      <c r="A579" s="28"/>
      <c r="B579" s="29"/>
      <c r="E579" s="128"/>
      <c r="F579" s="129"/>
      <c r="H579" s="126"/>
    </row>
    <row r="580" spans="1:8" ht="14.25" customHeight="1">
      <c r="A580" s="28"/>
      <c r="B580" s="29"/>
      <c r="E580" s="128"/>
      <c r="F580" s="129"/>
      <c r="H580" s="126"/>
    </row>
    <row r="581" spans="1:8" ht="14.25" customHeight="1">
      <c r="A581" s="28"/>
      <c r="B581" s="29"/>
      <c r="E581" s="128"/>
      <c r="F581" s="129"/>
      <c r="H581" s="126"/>
    </row>
    <row r="582" spans="1:8" ht="14.25" customHeight="1">
      <c r="A582" s="28"/>
      <c r="B582" s="29"/>
      <c r="E582" s="128"/>
      <c r="F582" s="129"/>
      <c r="H582" s="126"/>
    </row>
    <row r="583" spans="1:8" ht="14.25" customHeight="1">
      <c r="A583" s="28"/>
      <c r="B583" s="29"/>
      <c r="E583" s="128"/>
      <c r="F583" s="129"/>
      <c r="H583" s="126"/>
    </row>
    <row r="584" spans="1:8" ht="14.25" customHeight="1">
      <c r="A584" s="28"/>
      <c r="B584" s="29"/>
      <c r="E584" s="128"/>
      <c r="F584" s="129"/>
      <c r="H584" s="126"/>
    </row>
    <row r="585" spans="1:8" ht="14.25" customHeight="1">
      <c r="A585" s="28"/>
      <c r="B585" s="29"/>
      <c r="E585" s="128"/>
      <c r="F585" s="129"/>
      <c r="H585" s="126"/>
    </row>
    <row r="586" spans="1:8" ht="14.25" customHeight="1">
      <c r="A586" s="28"/>
      <c r="B586" s="29"/>
      <c r="E586" s="128"/>
      <c r="F586" s="129"/>
      <c r="H586" s="126"/>
    </row>
    <row r="587" spans="1:8" ht="14.25" customHeight="1">
      <c r="A587" s="28"/>
      <c r="B587" s="29"/>
      <c r="E587" s="128"/>
      <c r="F587" s="129"/>
      <c r="H587" s="126"/>
    </row>
    <row r="588" spans="1:8" ht="14.25" customHeight="1">
      <c r="A588" s="28"/>
      <c r="B588" s="29"/>
      <c r="E588" s="128"/>
      <c r="F588" s="129"/>
      <c r="H588" s="126"/>
    </row>
    <row r="589" spans="1:8" ht="14.25" customHeight="1">
      <c r="A589" s="28"/>
      <c r="B589" s="29"/>
      <c r="E589" s="128"/>
      <c r="F589" s="129"/>
      <c r="H589" s="126"/>
    </row>
    <row r="590" spans="1:8" ht="14.25" customHeight="1">
      <c r="A590" s="28"/>
      <c r="B590" s="29"/>
      <c r="E590" s="128"/>
      <c r="F590" s="129"/>
      <c r="H590" s="126"/>
    </row>
    <row r="591" spans="1:8" ht="14.25" customHeight="1">
      <c r="A591" s="28"/>
      <c r="B591" s="29"/>
      <c r="E591" s="128"/>
      <c r="F591" s="129"/>
      <c r="H591" s="126"/>
    </row>
    <row r="592" spans="1:8" ht="14.25" customHeight="1">
      <c r="A592" s="28"/>
      <c r="B592" s="29"/>
      <c r="E592" s="128"/>
      <c r="F592" s="129"/>
      <c r="H592" s="126"/>
    </row>
    <row r="593" spans="1:8" ht="14.25" customHeight="1">
      <c r="A593" s="28"/>
      <c r="B593" s="29"/>
      <c r="E593" s="128"/>
      <c r="F593" s="129"/>
      <c r="H593" s="126"/>
    </row>
    <row r="594" spans="1:8" ht="14.25" customHeight="1">
      <c r="A594" s="28"/>
      <c r="B594" s="29"/>
      <c r="E594" s="128"/>
      <c r="F594" s="129"/>
      <c r="H594" s="126"/>
    </row>
    <row r="595" spans="1:8" ht="14.25" customHeight="1">
      <c r="A595" s="28"/>
      <c r="B595" s="29"/>
      <c r="E595" s="128"/>
      <c r="F595" s="129"/>
      <c r="H595" s="126"/>
    </row>
    <row r="596" spans="1:8" ht="14.25" customHeight="1">
      <c r="A596" s="28"/>
      <c r="B596" s="29"/>
      <c r="E596" s="128"/>
      <c r="F596" s="129"/>
      <c r="H596" s="126"/>
    </row>
    <row r="597" spans="1:8" ht="14.25" customHeight="1">
      <c r="A597" s="28"/>
      <c r="B597" s="29"/>
      <c r="E597" s="128"/>
      <c r="F597" s="129"/>
      <c r="H597" s="126"/>
    </row>
    <row r="598" spans="1:8" ht="14.25" customHeight="1">
      <c r="A598" s="28"/>
      <c r="B598" s="29"/>
      <c r="E598" s="128"/>
      <c r="F598" s="129"/>
      <c r="H598" s="126"/>
    </row>
    <row r="599" spans="1:8" ht="14.25" customHeight="1">
      <c r="A599" s="28"/>
      <c r="B599" s="29"/>
      <c r="E599" s="128"/>
      <c r="F599" s="129"/>
      <c r="H599" s="126"/>
    </row>
    <row r="600" spans="1:8" ht="14.25" customHeight="1">
      <c r="A600" s="28"/>
      <c r="B600" s="29"/>
      <c r="E600" s="128"/>
      <c r="F600" s="129"/>
      <c r="H600" s="126"/>
    </row>
    <row r="601" spans="1:8" ht="14.25" customHeight="1">
      <c r="A601" s="28"/>
      <c r="B601" s="29"/>
      <c r="E601" s="128"/>
      <c r="F601" s="129"/>
      <c r="H601" s="126"/>
    </row>
    <row r="602" spans="1:8" ht="14.25" customHeight="1">
      <c r="A602" s="28"/>
      <c r="B602" s="29"/>
      <c r="E602" s="128"/>
      <c r="F602" s="129"/>
      <c r="H602" s="126"/>
    </row>
    <row r="603" spans="1:8" ht="14.25" customHeight="1">
      <c r="A603" s="28"/>
      <c r="B603" s="29"/>
      <c r="E603" s="128"/>
      <c r="F603" s="129"/>
      <c r="H603" s="126"/>
    </row>
    <row r="604" spans="1:8" ht="14.25" customHeight="1">
      <c r="A604" s="28"/>
      <c r="B604" s="29"/>
      <c r="E604" s="128"/>
      <c r="F604" s="129"/>
      <c r="H604" s="126"/>
    </row>
    <row r="605" spans="1:8" ht="14.25" customHeight="1">
      <c r="A605" s="28"/>
      <c r="B605" s="29"/>
      <c r="E605" s="128"/>
      <c r="F605" s="129"/>
      <c r="H605" s="126"/>
    </row>
    <row r="606" spans="1:8" ht="14.25" customHeight="1">
      <c r="A606" s="28"/>
      <c r="B606" s="29"/>
      <c r="E606" s="128"/>
      <c r="F606" s="129"/>
      <c r="H606" s="126"/>
    </row>
    <row r="607" spans="1:8" ht="14.25" customHeight="1">
      <c r="A607" s="28"/>
      <c r="B607" s="29"/>
      <c r="E607" s="128"/>
      <c r="F607" s="129"/>
      <c r="H607" s="126"/>
    </row>
    <row r="608" spans="1:8" ht="14.25" customHeight="1">
      <c r="A608" s="28"/>
      <c r="B608" s="29"/>
      <c r="E608" s="128"/>
      <c r="F608" s="129"/>
      <c r="H608" s="126"/>
    </row>
    <row r="609" spans="1:8" ht="14.25" customHeight="1">
      <c r="A609" s="28"/>
      <c r="B609" s="29"/>
      <c r="E609" s="128"/>
      <c r="F609" s="129"/>
      <c r="H609" s="126"/>
    </row>
    <row r="610" spans="1:8" ht="14.25" customHeight="1">
      <c r="A610" s="28"/>
      <c r="B610" s="29"/>
      <c r="E610" s="128"/>
      <c r="F610" s="129"/>
      <c r="H610" s="126"/>
    </row>
    <row r="611" spans="1:8" ht="14.25" customHeight="1">
      <c r="A611" s="28"/>
      <c r="B611" s="29"/>
      <c r="E611" s="128"/>
      <c r="F611" s="129"/>
      <c r="H611" s="126"/>
    </row>
    <row r="612" spans="1:8" ht="14.25" customHeight="1">
      <c r="A612" s="28"/>
      <c r="B612" s="29"/>
      <c r="E612" s="128"/>
      <c r="F612" s="129"/>
      <c r="H612" s="126"/>
    </row>
    <row r="613" spans="1:8" ht="14.25" customHeight="1">
      <c r="A613" s="28"/>
      <c r="B613" s="29"/>
      <c r="E613" s="128"/>
      <c r="F613" s="129"/>
      <c r="H613" s="126"/>
    </row>
    <row r="614" spans="1:8" ht="14.25" customHeight="1">
      <c r="A614" s="28"/>
      <c r="B614" s="29"/>
      <c r="E614" s="128"/>
      <c r="F614" s="129"/>
      <c r="H614" s="126"/>
    </row>
    <row r="615" spans="1:8" ht="14.25" customHeight="1">
      <c r="A615" s="28"/>
      <c r="B615" s="29"/>
      <c r="E615" s="128"/>
      <c r="F615" s="129"/>
      <c r="H615" s="126"/>
    </row>
    <row r="616" spans="1:8" ht="14.25" customHeight="1">
      <c r="A616" s="28"/>
      <c r="B616" s="29"/>
      <c r="E616" s="128"/>
      <c r="F616" s="129"/>
      <c r="H616" s="126"/>
    </row>
    <row r="617" spans="1:8" ht="14.25" customHeight="1">
      <c r="A617" s="28"/>
      <c r="B617" s="29"/>
      <c r="E617" s="128"/>
      <c r="F617" s="129"/>
      <c r="H617" s="126"/>
    </row>
    <row r="618" spans="1:8" ht="14.25" customHeight="1">
      <c r="A618" s="28"/>
      <c r="B618" s="29"/>
      <c r="E618" s="128"/>
      <c r="F618" s="129"/>
      <c r="H618" s="126"/>
    </row>
    <row r="619" spans="1:8" ht="14.25" customHeight="1">
      <c r="A619" s="28"/>
      <c r="B619" s="29"/>
      <c r="E619" s="128"/>
      <c r="F619" s="129"/>
      <c r="H619" s="126"/>
    </row>
    <row r="620" spans="1:8" ht="14.25" customHeight="1">
      <c r="A620" s="28"/>
      <c r="B620" s="29"/>
      <c r="E620" s="128"/>
      <c r="F620" s="129"/>
      <c r="H620" s="126"/>
    </row>
    <row r="621" spans="1:8" ht="14.25" customHeight="1">
      <c r="A621" s="28"/>
      <c r="B621" s="29"/>
      <c r="E621" s="128"/>
      <c r="F621" s="129"/>
      <c r="H621" s="126"/>
    </row>
    <row r="622" spans="1:8" ht="14.25" customHeight="1">
      <c r="A622" s="28"/>
      <c r="B622" s="29"/>
      <c r="E622" s="128"/>
      <c r="F622" s="129"/>
      <c r="H622" s="126"/>
    </row>
    <row r="623" spans="1:8" ht="14.25" customHeight="1">
      <c r="A623" s="28"/>
      <c r="B623" s="29"/>
      <c r="E623" s="128"/>
      <c r="F623" s="129"/>
      <c r="H623" s="126"/>
    </row>
    <row r="624" spans="1:8" ht="14.25" customHeight="1">
      <c r="A624" s="28"/>
      <c r="B624" s="29"/>
      <c r="E624" s="128"/>
      <c r="F624" s="129"/>
      <c r="H624" s="126"/>
    </row>
    <row r="625" spans="1:8" ht="14.25" customHeight="1">
      <c r="A625" s="28"/>
      <c r="B625" s="29"/>
      <c r="E625" s="128"/>
      <c r="F625" s="129"/>
      <c r="H625" s="126"/>
    </row>
    <row r="626" spans="1:8" ht="14.25" customHeight="1">
      <c r="A626" s="28"/>
      <c r="B626" s="29"/>
      <c r="E626" s="128"/>
      <c r="F626" s="129"/>
      <c r="H626" s="126"/>
    </row>
    <row r="627" spans="1:8" ht="14.25" customHeight="1">
      <c r="A627" s="28"/>
      <c r="B627" s="29"/>
      <c r="E627" s="128"/>
      <c r="F627" s="129"/>
      <c r="H627" s="126"/>
    </row>
    <row r="628" spans="1:8" ht="14.25" customHeight="1">
      <c r="A628" s="28"/>
      <c r="B628" s="29"/>
      <c r="E628" s="128"/>
      <c r="F628" s="129"/>
      <c r="H628" s="126"/>
    </row>
    <row r="629" spans="1:8" ht="14.25" customHeight="1">
      <c r="A629" s="28"/>
      <c r="B629" s="29"/>
      <c r="E629" s="128"/>
      <c r="F629" s="129"/>
      <c r="H629" s="126"/>
    </row>
    <row r="630" spans="1:8" ht="14.25" customHeight="1">
      <c r="A630" s="28"/>
      <c r="B630" s="29"/>
      <c r="E630" s="128"/>
      <c r="F630" s="129"/>
      <c r="H630" s="126"/>
    </row>
    <row r="631" spans="1:8" ht="14.25" customHeight="1">
      <c r="A631" s="28"/>
      <c r="B631" s="29"/>
      <c r="E631" s="128"/>
      <c r="F631" s="129"/>
      <c r="H631" s="126"/>
    </row>
    <row r="632" spans="1:8" ht="14.25" customHeight="1">
      <c r="A632" s="28"/>
      <c r="B632" s="29"/>
      <c r="E632" s="128"/>
      <c r="F632" s="129"/>
      <c r="H632" s="126"/>
    </row>
    <row r="633" spans="1:8" ht="14.25" customHeight="1">
      <c r="A633" s="28"/>
      <c r="B633" s="29"/>
      <c r="E633" s="128"/>
      <c r="F633" s="129"/>
      <c r="H633" s="126"/>
    </row>
    <row r="634" spans="1:8" ht="14.25" customHeight="1">
      <c r="A634" s="28"/>
      <c r="B634" s="29"/>
      <c r="E634" s="128"/>
      <c r="F634" s="129"/>
      <c r="H634" s="126"/>
    </row>
    <row r="635" spans="1:8" ht="14.25" customHeight="1">
      <c r="A635" s="28"/>
      <c r="B635" s="29"/>
      <c r="E635" s="128"/>
      <c r="F635" s="129"/>
      <c r="H635" s="126"/>
    </row>
    <row r="636" spans="1:8" ht="14.25" customHeight="1">
      <c r="A636" s="28"/>
      <c r="B636" s="29"/>
      <c r="E636" s="128"/>
      <c r="F636" s="129"/>
      <c r="H636" s="126"/>
    </row>
    <row r="637" spans="1:8" ht="14.25" customHeight="1">
      <c r="A637" s="28"/>
      <c r="B637" s="29"/>
      <c r="E637" s="128"/>
      <c r="F637" s="129"/>
      <c r="H637" s="126"/>
    </row>
    <row r="638" spans="1:8" ht="14.25" customHeight="1">
      <c r="A638" s="28"/>
      <c r="B638" s="29"/>
      <c r="E638" s="128"/>
      <c r="F638" s="129"/>
      <c r="H638" s="126"/>
    </row>
    <row r="639" spans="1:8" ht="14.25" customHeight="1">
      <c r="A639" s="28"/>
      <c r="B639" s="29"/>
      <c r="E639" s="128"/>
      <c r="F639" s="129"/>
      <c r="H639" s="126"/>
    </row>
    <row r="640" spans="1:8" ht="14.25" customHeight="1">
      <c r="A640" s="28"/>
      <c r="B640" s="29"/>
      <c r="E640" s="128"/>
      <c r="F640" s="129"/>
      <c r="H640" s="126"/>
    </row>
    <row r="641" spans="1:8" ht="14.25" customHeight="1">
      <c r="A641" s="28"/>
      <c r="B641" s="29"/>
      <c r="E641" s="128"/>
      <c r="F641" s="129"/>
      <c r="H641" s="126"/>
    </row>
    <row r="642" spans="1:8" ht="14.25" customHeight="1">
      <c r="A642" s="28"/>
      <c r="B642" s="29"/>
      <c r="E642" s="128"/>
      <c r="F642" s="129"/>
      <c r="H642" s="126"/>
    </row>
    <row r="643" spans="1:8" ht="14.25" customHeight="1">
      <c r="A643" s="28"/>
      <c r="B643" s="29"/>
      <c r="E643" s="128"/>
      <c r="F643" s="129"/>
      <c r="H643" s="126"/>
    </row>
    <row r="644" spans="1:8" ht="14.25" customHeight="1">
      <c r="A644" s="28"/>
      <c r="B644" s="29"/>
      <c r="E644" s="128"/>
      <c r="F644" s="129"/>
      <c r="H644" s="126"/>
    </row>
    <row r="645" spans="1:8" ht="14.25" customHeight="1">
      <c r="A645" s="28"/>
      <c r="B645" s="29"/>
      <c r="E645" s="128"/>
      <c r="F645" s="129"/>
      <c r="H645" s="126"/>
    </row>
    <row r="646" spans="1:8" ht="14.25" customHeight="1">
      <c r="A646" s="28"/>
      <c r="B646" s="29"/>
      <c r="E646" s="128"/>
      <c r="F646" s="129"/>
      <c r="H646" s="126"/>
    </row>
    <row r="647" spans="1:8" ht="14.25" customHeight="1">
      <c r="A647" s="28"/>
      <c r="B647" s="29"/>
      <c r="E647" s="128"/>
      <c r="F647" s="129"/>
      <c r="H647" s="126"/>
    </row>
    <row r="648" spans="1:8" ht="14.25" customHeight="1">
      <c r="A648" s="28"/>
      <c r="B648" s="29"/>
      <c r="E648" s="128"/>
      <c r="F648" s="129"/>
      <c r="H648" s="126"/>
    </row>
    <row r="649" spans="1:8" ht="14.25" customHeight="1">
      <c r="A649" s="28"/>
      <c r="B649" s="29"/>
      <c r="E649" s="128"/>
      <c r="F649" s="129"/>
      <c r="H649" s="126"/>
    </row>
    <row r="650" spans="1:8" ht="14.25" customHeight="1">
      <c r="A650" s="28"/>
      <c r="B650" s="29"/>
      <c r="E650" s="128"/>
      <c r="F650" s="129"/>
      <c r="H650" s="126"/>
    </row>
    <row r="651" spans="1:8" ht="14.25" customHeight="1">
      <c r="A651" s="28"/>
      <c r="B651" s="29"/>
      <c r="E651" s="128"/>
      <c r="F651" s="129"/>
      <c r="H651" s="126"/>
    </row>
    <row r="652" spans="1:8" ht="14.25" customHeight="1">
      <c r="A652" s="28"/>
      <c r="B652" s="29"/>
      <c r="E652" s="128"/>
      <c r="F652" s="129"/>
      <c r="H652" s="126"/>
    </row>
    <row r="653" spans="1:8" ht="14.25" customHeight="1">
      <c r="A653" s="28"/>
      <c r="B653" s="29"/>
      <c r="E653" s="128"/>
      <c r="F653" s="129"/>
      <c r="H653" s="126"/>
    </row>
    <row r="654" spans="1:8" ht="14.25" customHeight="1">
      <c r="A654" s="28"/>
      <c r="B654" s="29"/>
      <c r="E654" s="128"/>
      <c r="F654" s="129"/>
      <c r="H654" s="126"/>
    </row>
    <row r="655" spans="1:8" ht="14.25" customHeight="1">
      <c r="A655" s="28"/>
      <c r="B655" s="29"/>
      <c r="E655" s="128"/>
      <c r="F655" s="129"/>
      <c r="H655" s="126"/>
    </row>
    <row r="656" spans="1:8" ht="14.25" customHeight="1">
      <c r="A656" s="28"/>
      <c r="B656" s="29"/>
      <c r="E656" s="128"/>
      <c r="F656" s="129"/>
      <c r="H656" s="126"/>
    </row>
    <row r="657" spans="1:8" ht="14.25" customHeight="1">
      <c r="A657" s="28"/>
      <c r="B657" s="29"/>
      <c r="E657" s="128"/>
      <c r="F657" s="129"/>
      <c r="H657" s="126"/>
    </row>
    <row r="658" spans="1:8" ht="14.25" customHeight="1">
      <c r="A658" s="28"/>
      <c r="B658" s="29"/>
      <c r="E658" s="128"/>
      <c r="F658" s="129"/>
      <c r="H658" s="126"/>
    </row>
    <row r="659" spans="1:8" ht="14.25" customHeight="1">
      <c r="A659" s="28"/>
      <c r="B659" s="29"/>
      <c r="E659" s="128"/>
      <c r="F659" s="129"/>
      <c r="H659" s="126"/>
    </row>
    <row r="660" spans="1:8" ht="14.25" customHeight="1">
      <c r="A660" s="28"/>
      <c r="B660" s="29"/>
      <c r="E660" s="128"/>
      <c r="F660" s="129"/>
      <c r="H660" s="126"/>
    </row>
    <row r="661" spans="1:8" ht="14.25" customHeight="1">
      <c r="A661" s="28"/>
      <c r="B661" s="29"/>
      <c r="E661" s="128"/>
      <c r="F661" s="129"/>
      <c r="H661" s="126"/>
    </row>
    <row r="662" spans="1:8" ht="14.25" customHeight="1">
      <c r="A662" s="28"/>
      <c r="B662" s="29"/>
      <c r="E662" s="128"/>
      <c r="F662" s="129"/>
      <c r="H662" s="126"/>
    </row>
    <row r="663" spans="1:8" ht="14.25" customHeight="1">
      <c r="A663" s="28"/>
      <c r="B663" s="29"/>
      <c r="E663" s="128"/>
      <c r="F663" s="129"/>
      <c r="H663" s="126"/>
    </row>
    <row r="664" spans="1:8" ht="14.25" customHeight="1">
      <c r="A664" s="28"/>
      <c r="B664" s="29"/>
      <c r="E664" s="128"/>
      <c r="F664" s="129"/>
      <c r="H664" s="126"/>
    </row>
    <row r="665" spans="1:8" ht="14.25" customHeight="1">
      <c r="A665" s="28"/>
      <c r="B665" s="29"/>
      <c r="E665" s="128"/>
      <c r="F665" s="129"/>
      <c r="H665" s="126"/>
    </row>
    <row r="666" spans="1:8" ht="14.25" customHeight="1">
      <c r="A666" s="28"/>
      <c r="B666" s="29"/>
      <c r="E666" s="128"/>
      <c r="F666" s="129"/>
      <c r="H666" s="126"/>
    </row>
    <row r="667" spans="1:8" ht="14.25" customHeight="1">
      <c r="A667" s="28"/>
      <c r="B667" s="29"/>
      <c r="E667" s="128"/>
      <c r="F667" s="129"/>
      <c r="H667" s="126"/>
    </row>
    <row r="668" spans="1:8" ht="14.25" customHeight="1">
      <c r="A668" s="28"/>
      <c r="B668" s="29"/>
      <c r="E668" s="128"/>
      <c r="F668" s="129"/>
      <c r="H668" s="126"/>
    </row>
    <row r="669" spans="1:8" ht="14.25" customHeight="1">
      <c r="A669" s="28"/>
      <c r="B669" s="29"/>
      <c r="E669" s="128"/>
      <c r="F669" s="129"/>
      <c r="H669" s="126"/>
    </row>
    <row r="670" spans="1:8" ht="14.25" customHeight="1">
      <c r="A670" s="28"/>
      <c r="B670" s="29"/>
      <c r="E670" s="128"/>
      <c r="F670" s="129"/>
      <c r="H670" s="126"/>
    </row>
    <row r="671" spans="1:8" ht="14.25" customHeight="1">
      <c r="A671" s="28"/>
      <c r="B671" s="29"/>
      <c r="E671" s="128"/>
      <c r="F671" s="129"/>
      <c r="H671" s="126"/>
    </row>
    <row r="672" spans="1:8" ht="14.25" customHeight="1">
      <c r="A672" s="28"/>
      <c r="B672" s="29"/>
      <c r="E672" s="128"/>
      <c r="F672" s="129"/>
      <c r="H672" s="126"/>
    </row>
    <row r="673" spans="1:8" ht="14.25" customHeight="1">
      <c r="A673" s="28"/>
      <c r="B673" s="29"/>
      <c r="E673" s="128"/>
      <c r="F673" s="129"/>
      <c r="H673" s="126"/>
    </row>
    <row r="674" spans="1:8" ht="14.25" customHeight="1">
      <c r="A674" s="28"/>
      <c r="B674" s="29"/>
      <c r="E674" s="128"/>
      <c r="F674" s="129"/>
      <c r="H674" s="126"/>
    </row>
    <row r="675" spans="1:8" ht="14.25" customHeight="1">
      <c r="A675" s="28"/>
      <c r="B675" s="29"/>
      <c r="E675" s="128"/>
      <c r="F675" s="129"/>
      <c r="H675" s="126"/>
    </row>
    <row r="676" spans="1:8" ht="14.25" customHeight="1">
      <c r="A676" s="28"/>
      <c r="B676" s="29"/>
      <c r="E676" s="128"/>
      <c r="F676" s="129"/>
      <c r="H676" s="126"/>
    </row>
    <row r="677" spans="1:8" ht="14.25" customHeight="1">
      <c r="A677" s="28"/>
      <c r="B677" s="29"/>
      <c r="E677" s="128"/>
      <c r="F677" s="129"/>
      <c r="H677" s="126"/>
    </row>
    <row r="678" spans="1:8" ht="14.25" customHeight="1">
      <c r="A678" s="28"/>
      <c r="B678" s="29"/>
      <c r="E678" s="128"/>
      <c r="F678" s="129"/>
      <c r="H678" s="126"/>
    </row>
    <row r="679" spans="1:8" ht="14.25" customHeight="1">
      <c r="A679" s="28"/>
      <c r="B679" s="29"/>
      <c r="E679" s="128"/>
      <c r="F679" s="129"/>
      <c r="H679" s="126"/>
    </row>
    <row r="680" spans="1:8" ht="14.25" customHeight="1">
      <c r="A680" s="28"/>
      <c r="B680" s="29"/>
      <c r="E680" s="128"/>
      <c r="F680" s="129"/>
      <c r="H680" s="126"/>
    </row>
    <row r="681" spans="1:8" ht="14.25" customHeight="1">
      <c r="A681" s="28"/>
      <c r="B681" s="29"/>
      <c r="E681" s="128"/>
      <c r="F681" s="129"/>
      <c r="H681" s="126"/>
    </row>
    <row r="682" spans="1:8" ht="14.25" customHeight="1">
      <c r="A682" s="28"/>
      <c r="B682" s="29"/>
      <c r="E682" s="128"/>
      <c r="F682" s="129"/>
      <c r="H682" s="126"/>
    </row>
    <row r="683" spans="1:8" ht="14.25" customHeight="1">
      <c r="A683" s="28"/>
      <c r="B683" s="29"/>
      <c r="E683" s="128"/>
      <c r="F683" s="129"/>
      <c r="H683" s="126"/>
    </row>
    <row r="684" spans="1:8" ht="14.25" customHeight="1">
      <c r="A684" s="28"/>
      <c r="B684" s="29"/>
      <c r="E684" s="128"/>
      <c r="F684" s="129"/>
      <c r="H684" s="126"/>
    </row>
    <row r="685" spans="1:8" ht="14.25" customHeight="1">
      <c r="A685" s="28"/>
      <c r="B685" s="29"/>
      <c r="E685" s="128"/>
      <c r="F685" s="129"/>
      <c r="H685" s="126"/>
    </row>
    <row r="686" spans="1:8" ht="14.25" customHeight="1">
      <c r="A686" s="28"/>
      <c r="B686" s="29"/>
      <c r="E686" s="128"/>
      <c r="F686" s="129"/>
      <c r="H686" s="126"/>
    </row>
    <row r="687" spans="1:8" ht="14.25" customHeight="1">
      <c r="A687" s="28"/>
      <c r="B687" s="29"/>
      <c r="E687" s="128"/>
      <c r="F687" s="129"/>
      <c r="H687" s="126"/>
    </row>
    <row r="688" spans="1:8" ht="14.25" customHeight="1">
      <c r="A688" s="28"/>
      <c r="B688" s="29"/>
      <c r="E688" s="128"/>
      <c r="F688" s="129"/>
      <c r="H688" s="126"/>
    </row>
    <row r="689" spans="1:8" ht="14.25" customHeight="1">
      <c r="A689" s="28"/>
      <c r="B689" s="29"/>
      <c r="E689" s="128"/>
      <c r="F689" s="129"/>
      <c r="H689" s="126"/>
    </row>
    <row r="690" spans="1:8" ht="14.25" customHeight="1">
      <c r="A690" s="28"/>
      <c r="B690" s="29"/>
      <c r="E690" s="128"/>
      <c r="F690" s="129"/>
      <c r="H690" s="126"/>
    </row>
    <row r="691" spans="1:8" ht="14.25" customHeight="1">
      <c r="A691" s="28"/>
      <c r="B691" s="29"/>
      <c r="E691" s="128"/>
      <c r="F691" s="129"/>
      <c r="H691" s="126"/>
    </row>
    <row r="692" spans="1:8" ht="14.25" customHeight="1">
      <c r="A692" s="28"/>
      <c r="B692" s="29"/>
      <c r="E692" s="128"/>
      <c r="F692" s="129"/>
      <c r="H692" s="126"/>
    </row>
    <row r="693" spans="1:8" ht="14.25" customHeight="1">
      <c r="A693" s="28"/>
      <c r="B693" s="29"/>
      <c r="E693" s="128"/>
      <c r="F693" s="129"/>
      <c r="H693" s="126"/>
    </row>
    <row r="694" spans="1:8" ht="14.25" customHeight="1">
      <c r="A694" s="28"/>
      <c r="B694" s="29"/>
      <c r="E694" s="128"/>
      <c r="F694" s="129"/>
      <c r="H694" s="126"/>
    </row>
    <row r="695" spans="1:8" ht="14.25" customHeight="1">
      <c r="A695" s="28"/>
      <c r="B695" s="29"/>
      <c r="E695" s="128"/>
      <c r="F695" s="129"/>
      <c r="H695" s="126"/>
    </row>
    <row r="696" spans="1:8" ht="14.25" customHeight="1">
      <c r="A696" s="28"/>
      <c r="B696" s="29"/>
      <c r="E696" s="128"/>
      <c r="F696" s="129"/>
      <c r="H696" s="126"/>
    </row>
    <row r="697" spans="1:8" ht="14.25" customHeight="1">
      <c r="A697" s="28"/>
      <c r="B697" s="29"/>
      <c r="E697" s="128"/>
      <c r="F697" s="129"/>
      <c r="H697" s="126"/>
    </row>
    <row r="698" spans="1:8" ht="14.25" customHeight="1">
      <c r="A698" s="28"/>
      <c r="B698" s="29"/>
      <c r="E698" s="128"/>
      <c r="F698" s="129"/>
      <c r="H698" s="126"/>
    </row>
  </sheetData>
  <mergeCells count="60">
    <mergeCell ref="B121:F121"/>
    <mergeCell ref="B122:F122"/>
    <mergeCell ref="B116:F116"/>
    <mergeCell ref="B117:F117"/>
    <mergeCell ref="B118:F118"/>
    <mergeCell ref="B119:F119"/>
    <mergeCell ref="B120:F120"/>
    <mergeCell ref="B108:E108"/>
    <mergeCell ref="B112:E112"/>
    <mergeCell ref="B113:E113"/>
    <mergeCell ref="B114:E114"/>
    <mergeCell ref="B115:F115"/>
    <mergeCell ref="B98:E98"/>
    <mergeCell ref="B100:E100"/>
    <mergeCell ref="B102:E102"/>
    <mergeCell ref="B104:E104"/>
    <mergeCell ref="B106:E106"/>
    <mergeCell ref="B86:E86"/>
    <mergeCell ref="B88:E88"/>
    <mergeCell ref="B92:E92"/>
    <mergeCell ref="B94:E94"/>
    <mergeCell ref="B96:E96"/>
    <mergeCell ref="B61:E61"/>
    <mergeCell ref="B63:E63"/>
    <mergeCell ref="B74:E74"/>
    <mergeCell ref="B78:E78"/>
    <mergeCell ref="B82:E82"/>
    <mergeCell ref="B49:E49"/>
    <mergeCell ref="B50:E50"/>
    <mergeCell ref="B52:E52"/>
    <mergeCell ref="B55:E55"/>
    <mergeCell ref="B58:E58"/>
    <mergeCell ref="B32:E32"/>
    <mergeCell ref="B34:E34"/>
    <mergeCell ref="B36:E36"/>
    <mergeCell ref="B39:E39"/>
    <mergeCell ref="B40:E40"/>
    <mergeCell ref="B10:E10"/>
    <mergeCell ref="B24:E24"/>
    <mergeCell ref="B25:E25"/>
    <mergeCell ref="B27:E27"/>
    <mergeCell ref="B29:E29"/>
    <mergeCell ref="A1:F1"/>
    <mergeCell ref="A2:B6"/>
    <mergeCell ref="C2:D6"/>
    <mergeCell ref="E2:F6"/>
    <mergeCell ref="A7:B7"/>
    <mergeCell ref="C7:D7"/>
    <mergeCell ref="E7:F7"/>
    <mergeCell ref="B130:F130"/>
    <mergeCell ref="B131:F131"/>
    <mergeCell ref="B132:F132"/>
    <mergeCell ref="B133:F133"/>
    <mergeCell ref="B123:F123"/>
    <mergeCell ref="B124:F124"/>
    <mergeCell ref="B125:F125"/>
    <mergeCell ref="B126:F126"/>
    <mergeCell ref="B127:F127"/>
    <mergeCell ref="B128:F128"/>
    <mergeCell ref="B129:F129"/>
  </mergeCells>
  <pageMargins left="0.7" right="0.7" top="0.75" bottom="0.75" header="0" footer="0"/>
  <pageSetup paperSize="9" fitToHeight="0" orientation="portrait"/>
  <headerFooter>
    <oddFooter>&amp;Cwww.cubicassociates.com&amp;R&amp;P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G466"/>
  <sheetViews>
    <sheetView workbookViewId="0">
      <selection activeCell="B25" sqref="B25:G25"/>
    </sheetView>
  </sheetViews>
  <sheetFormatPr defaultColWidth="14.42578125" defaultRowHeight="15" customHeight="1"/>
  <cols>
    <col min="2" max="2" width="30.28515625" customWidth="1"/>
  </cols>
  <sheetData>
    <row r="1" spans="1:7">
      <c r="A1" s="2" t="s">
        <v>3</v>
      </c>
      <c r="B1" s="2" t="s">
        <v>4</v>
      </c>
      <c r="C1" s="2" t="s">
        <v>5</v>
      </c>
      <c r="D1" s="2" t="s">
        <v>6</v>
      </c>
      <c r="E1" s="2" t="s">
        <v>7</v>
      </c>
      <c r="F1" s="2" t="s">
        <v>8</v>
      </c>
      <c r="G1" s="2" t="s">
        <v>9</v>
      </c>
    </row>
    <row r="2" spans="1:7">
      <c r="A2" s="4"/>
      <c r="B2" s="4"/>
      <c r="C2" s="4"/>
      <c r="D2" s="4"/>
      <c r="E2" s="4"/>
      <c r="F2" s="4"/>
      <c r="G2" s="4"/>
    </row>
    <row r="3" spans="1:7">
      <c r="A3" s="5"/>
      <c r="B3" s="158" t="s">
        <v>10</v>
      </c>
      <c r="C3" s="136"/>
      <c r="D3" s="136"/>
      <c r="E3" s="136"/>
      <c r="F3" s="136"/>
      <c r="G3" s="137"/>
    </row>
    <row r="4" spans="1:7">
      <c r="A4" s="4"/>
      <c r="B4" s="157" t="s">
        <v>210</v>
      </c>
      <c r="C4" s="136"/>
      <c r="D4" s="136"/>
      <c r="E4" s="136"/>
      <c r="F4" s="136"/>
      <c r="G4" s="137"/>
    </row>
    <row r="5" spans="1:7">
      <c r="A5" s="4"/>
      <c r="B5" s="6" t="s">
        <v>56</v>
      </c>
      <c r="C5" s="7" t="s">
        <v>12</v>
      </c>
      <c r="D5" s="7">
        <v>1</v>
      </c>
      <c r="E5" s="17">
        <v>5.5</v>
      </c>
      <c r="F5" s="17">
        <v>10</v>
      </c>
      <c r="G5" s="8">
        <f t="shared" ref="G5:G18" si="0">F5*E5*D5</f>
        <v>55</v>
      </c>
    </row>
    <row r="6" spans="1:7">
      <c r="A6" s="4"/>
      <c r="B6" s="4"/>
      <c r="C6" s="7" t="s">
        <v>12</v>
      </c>
      <c r="D6" s="7">
        <v>1</v>
      </c>
      <c r="E6" s="17">
        <v>25.5</v>
      </c>
      <c r="F6" s="17">
        <v>10</v>
      </c>
      <c r="G6" s="8">
        <f t="shared" si="0"/>
        <v>255</v>
      </c>
    </row>
    <row r="7" spans="1:7">
      <c r="A7" s="4"/>
      <c r="B7" s="4"/>
      <c r="C7" s="7" t="s">
        <v>12</v>
      </c>
      <c r="D7" s="7">
        <v>1</v>
      </c>
      <c r="E7" s="17">
        <v>18</v>
      </c>
      <c r="F7" s="17">
        <v>10</v>
      </c>
      <c r="G7" s="8">
        <f t="shared" si="0"/>
        <v>180</v>
      </c>
    </row>
    <row r="8" spans="1:7">
      <c r="A8" s="4"/>
      <c r="B8" s="4"/>
      <c r="C8" s="7" t="s">
        <v>12</v>
      </c>
      <c r="D8" s="7">
        <v>1</v>
      </c>
      <c r="E8" s="17">
        <v>25.75</v>
      </c>
      <c r="F8" s="17">
        <v>10</v>
      </c>
      <c r="G8" s="8">
        <f t="shared" si="0"/>
        <v>257.5</v>
      </c>
    </row>
    <row r="9" spans="1:7">
      <c r="A9" s="4"/>
      <c r="B9" s="6" t="s">
        <v>211</v>
      </c>
      <c r="C9" s="7" t="s">
        <v>12</v>
      </c>
      <c r="D9" s="17">
        <v>2</v>
      </c>
      <c r="E9" s="17">
        <v>11.25</v>
      </c>
      <c r="F9" s="17">
        <v>10</v>
      </c>
      <c r="G9" s="8">
        <f t="shared" si="0"/>
        <v>225</v>
      </c>
    </row>
    <row r="10" spans="1:7">
      <c r="A10" s="4"/>
      <c r="B10" s="4"/>
      <c r="C10" s="7" t="s">
        <v>12</v>
      </c>
      <c r="D10" s="17">
        <v>2</v>
      </c>
      <c r="E10" s="17">
        <v>22.25</v>
      </c>
      <c r="F10" s="17">
        <v>10</v>
      </c>
      <c r="G10" s="8">
        <f t="shared" si="0"/>
        <v>445</v>
      </c>
    </row>
    <row r="11" spans="1:7">
      <c r="A11" s="4"/>
      <c r="B11" s="6" t="s">
        <v>212</v>
      </c>
      <c r="C11" s="7" t="s">
        <v>12</v>
      </c>
      <c r="D11" s="17">
        <v>2</v>
      </c>
      <c r="E11" s="17">
        <v>11.25</v>
      </c>
      <c r="F11" s="17">
        <v>10</v>
      </c>
      <c r="G11" s="8">
        <f t="shared" si="0"/>
        <v>225</v>
      </c>
    </row>
    <row r="12" spans="1:7">
      <c r="A12" s="4"/>
      <c r="B12" s="4"/>
      <c r="C12" s="7" t="s">
        <v>12</v>
      </c>
      <c r="D12" s="17">
        <v>2</v>
      </c>
      <c r="E12" s="17">
        <v>18.25</v>
      </c>
      <c r="F12" s="17">
        <v>10</v>
      </c>
      <c r="G12" s="8">
        <f t="shared" si="0"/>
        <v>365</v>
      </c>
    </row>
    <row r="13" spans="1:7">
      <c r="A13" s="4"/>
      <c r="B13" s="6" t="s">
        <v>213</v>
      </c>
      <c r="C13" s="7" t="s">
        <v>12</v>
      </c>
      <c r="D13" s="17">
        <v>3</v>
      </c>
      <c r="E13" s="17">
        <v>11.25</v>
      </c>
      <c r="F13" s="17">
        <v>10</v>
      </c>
      <c r="G13" s="8">
        <f t="shared" si="0"/>
        <v>337.5</v>
      </c>
    </row>
    <row r="14" spans="1:7">
      <c r="A14" s="4"/>
      <c r="B14" s="4"/>
      <c r="C14" s="7" t="s">
        <v>12</v>
      </c>
      <c r="D14" s="17">
        <v>2</v>
      </c>
      <c r="E14" s="17">
        <v>26.25</v>
      </c>
      <c r="F14" s="17">
        <v>10</v>
      </c>
      <c r="G14" s="8">
        <f t="shared" si="0"/>
        <v>525</v>
      </c>
    </row>
    <row r="15" spans="1:7">
      <c r="A15" s="4"/>
      <c r="B15" s="6" t="s">
        <v>214</v>
      </c>
      <c r="C15" s="7" t="s">
        <v>12</v>
      </c>
      <c r="D15" s="17">
        <v>1</v>
      </c>
      <c r="E15" s="17">
        <v>9.5</v>
      </c>
      <c r="F15" s="17">
        <v>10</v>
      </c>
      <c r="G15" s="8">
        <f t="shared" si="0"/>
        <v>95</v>
      </c>
    </row>
    <row r="16" spans="1:7">
      <c r="A16" s="4"/>
      <c r="B16" s="6" t="s">
        <v>215</v>
      </c>
      <c r="C16" s="7" t="s">
        <v>12</v>
      </c>
      <c r="D16" s="17">
        <v>1</v>
      </c>
      <c r="E16" s="17">
        <v>10.75</v>
      </c>
      <c r="F16" s="17">
        <v>10</v>
      </c>
      <c r="G16" s="8">
        <f t="shared" si="0"/>
        <v>107.5</v>
      </c>
    </row>
    <row r="17" spans="1:7">
      <c r="A17" s="4"/>
      <c r="B17" s="6" t="s">
        <v>216</v>
      </c>
      <c r="C17" s="7" t="s">
        <v>12</v>
      </c>
      <c r="D17" s="17">
        <v>1</v>
      </c>
      <c r="E17" s="17">
        <v>27.5</v>
      </c>
      <c r="F17" s="17">
        <v>10</v>
      </c>
      <c r="G17" s="8">
        <f t="shared" si="0"/>
        <v>275</v>
      </c>
    </row>
    <row r="18" spans="1:7">
      <c r="A18" s="4"/>
      <c r="B18" s="4"/>
      <c r="C18" s="7" t="s">
        <v>12</v>
      </c>
      <c r="D18" s="17">
        <v>1</v>
      </c>
      <c r="E18" s="17">
        <v>13</v>
      </c>
      <c r="F18" s="17">
        <v>10</v>
      </c>
      <c r="G18" s="8">
        <f t="shared" si="0"/>
        <v>130</v>
      </c>
    </row>
    <row r="19" spans="1:7">
      <c r="A19" s="4"/>
      <c r="B19" s="4"/>
      <c r="C19" s="4"/>
      <c r="D19" s="4"/>
      <c r="E19" s="4"/>
      <c r="F19" s="4"/>
      <c r="G19" s="4"/>
    </row>
    <row r="20" spans="1:7" ht="15.75">
      <c r="A20" s="9"/>
      <c r="B20" s="155" t="s">
        <v>14</v>
      </c>
      <c r="C20" s="136"/>
      <c r="D20" s="136"/>
      <c r="E20" s="136"/>
      <c r="F20" s="137"/>
      <c r="G20" s="10">
        <f>SUM(G5:G19)</f>
        <v>3477.5</v>
      </c>
    </row>
    <row r="21" spans="1:7">
      <c r="A21" s="4"/>
      <c r="B21" s="157" t="s">
        <v>217</v>
      </c>
      <c r="C21" s="136"/>
      <c r="D21" s="136"/>
      <c r="E21" s="136"/>
      <c r="F21" s="136"/>
      <c r="G21" s="137"/>
    </row>
    <row r="22" spans="1:7">
      <c r="A22" s="4"/>
      <c r="B22" s="6" t="s">
        <v>56</v>
      </c>
      <c r="C22" s="7" t="s">
        <v>12</v>
      </c>
      <c r="D22" s="17">
        <v>1</v>
      </c>
      <c r="E22" s="17">
        <v>5.5</v>
      </c>
      <c r="F22" s="17">
        <v>10</v>
      </c>
      <c r="G22" s="8">
        <f>F22*E22*D22</f>
        <v>55</v>
      </c>
    </row>
    <row r="23" spans="1:7">
      <c r="A23" s="4"/>
      <c r="B23" s="4"/>
      <c r="C23" s="7"/>
      <c r="D23" s="7"/>
      <c r="E23" s="17"/>
      <c r="F23" s="17"/>
      <c r="G23" s="8"/>
    </row>
    <row r="24" spans="1:7" ht="15.75">
      <c r="A24" s="4"/>
      <c r="B24" s="155" t="s">
        <v>14</v>
      </c>
      <c r="C24" s="136"/>
      <c r="D24" s="136"/>
      <c r="E24" s="136"/>
      <c r="F24" s="137"/>
      <c r="G24" s="130">
        <v>1</v>
      </c>
    </row>
    <row r="25" spans="1:7">
      <c r="A25" s="4"/>
      <c r="B25" s="157" t="s">
        <v>218</v>
      </c>
      <c r="C25" s="136"/>
      <c r="D25" s="136"/>
      <c r="E25" s="136"/>
      <c r="F25" s="136"/>
      <c r="G25" s="137"/>
    </row>
    <row r="26" spans="1:7">
      <c r="A26" s="4"/>
      <c r="B26" s="6" t="s">
        <v>56</v>
      </c>
      <c r="C26" s="7" t="s">
        <v>12</v>
      </c>
      <c r="D26" s="17">
        <v>8</v>
      </c>
      <c r="E26" s="17">
        <v>2.5</v>
      </c>
      <c r="F26" s="17">
        <v>10</v>
      </c>
      <c r="G26" s="8">
        <f t="shared" ref="G26:G29" si="1">F26*E26*D26</f>
        <v>200</v>
      </c>
    </row>
    <row r="27" spans="1:7">
      <c r="A27" s="4"/>
      <c r="B27" s="4"/>
      <c r="C27" s="7" t="s">
        <v>12</v>
      </c>
      <c r="D27" s="17">
        <v>8</v>
      </c>
      <c r="E27" s="17">
        <v>2.5</v>
      </c>
      <c r="F27" s="17">
        <v>10</v>
      </c>
      <c r="G27" s="8">
        <f t="shared" si="1"/>
        <v>200</v>
      </c>
    </row>
    <row r="28" spans="1:7">
      <c r="A28" s="4"/>
      <c r="B28" s="4"/>
      <c r="C28" s="7" t="s">
        <v>12</v>
      </c>
      <c r="D28" s="17">
        <v>7</v>
      </c>
      <c r="E28" s="17">
        <v>2.5</v>
      </c>
      <c r="F28" s="17">
        <v>10</v>
      </c>
      <c r="G28" s="8">
        <f t="shared" si="1"/>
        <v>175</v>
      </c>
    </row>
    <row r="29" spans="1:7">
      <c r="A29" s="4"/>
      <c r="B29" s="4"/>
      <c r="C29" s="7" t="s">
        <v>12</v>
      </c>
      <c r="D29" s="17">
        <v>7</v>
      </c>
      <c r="E29" s="17">
        <v>2.5</v>
      </c>
      <c r="F29" s="17">
        <v>10</v>
      </c>
      <c r="G29" s="8">
        <f t="shared" si="1"/>
        <v>175</v>
      </c>
    </row>
    <row r="30" spans="1:7">
      <c r="A30" s="4"/>
      <c r="B30" s="4"/>
      <c r="C30" s="7"/>
      <c r="D30" s="7"/>
      <c r="E30" s="17"/>
      <c r="F30" s="17"/>
      <c r="G30" s="8"/>
    </row>
    <row r="31" spans="1:7" ht="15.75">
      <c r="A31" s="4"/>
      <c r="B31" s="155" t="s">
        <v>14</v>
      </c>
      <c r="C31" s="136"/>
      <c r="D31" s="136"/>
      <c r="E31" s="136"/>
      <c r="F31" s="137"/>
      <c r="G31" s="10">
        <f>SUM(G26:G30)</f>
        <v>750</v>
      </c>
    </row>
    <row r="32" spans="1:7">
      <c r="A32" s="4"/>
      <c r="B32" s="157" t="s">
        <v>219</v>
      </c>
      <c r="C32" s="136"/>
      <c r="D32" s="136"/>
      <c r="E32" s="136"/>
      <c r="F32" s="136"/>
      <c r="G32" s="137"/>
    </row>
    <row r="33" spans="1:7">
      <c r="A33" s="4"/>
      <c r="B33" s="6" t="s">
        <v>220</v>
      </c>
      <c r="C33" s="7" t="s">
        <v>12</v>
      </c>
      <c r="D33" s="17">
        <v>1</v>
      </c>
      <c r="E33" s="17">
        <v>4</v>
      </c>
      <c r="F33" s="17">
        <v>8.25</v>
      </c>
      <c r="G33" s="8">
        <f t="shared" ref="G33:G35" si="2">F33*E33*D33</f>
        <v>33</v>
      </c>
    </row>
    <row r="34" spans="1:7">
      <c r="A34" s="4"/>
      <c r="B34" s="4"/>
      <c r="C34" s="7" t="s">
        <v>12</v>
      </c>
      <c r="D34" s="17">
        <v>1</v>
      </c>
      <c r="E34" s="17">
        <v>51.5</v>
      </c>
      <c r="F34" s="17">
        <v>8.25</v>
      </c>
      <c r="G34" s="8">
        <f t="shared" si="2"/>
        <v>424.875</v>
      </c>
    </row>
    <row r="35" spans="1:7">
      <c r="A35" s="4"/>
      <c r="B35" s="6" t="s">
        <v>221</v>
      </c>
      <c r="C35" s="7" t="s">
        <v>12</v>
      </c>
      <c r="D35" s="17">
        <v>1</v>
      </c>
      <c r="E35" s="17">
        <v>6</v>
      </c>
      <c r="F35" s="17">
        <v>8.25</v>
      </c>
      <c r="G35" s="8">
        <f t="shared" si="2"/>
        <v>49.5</v>
      </c>
    </row>
    <row r="36" spans="1:7">
      <c r="A36" s="4"/>
      <c r="B36" s="4"/>
      <c r="C36" s="7"/>
      <c r="D36" s="7"/>
      <c r="E36" s="17"/>
      <c r="F36" s="17"/>
      <c r="G36" s="8"/>
    </row>
    <row r="37" spans="1:7" ht="15.75">
      <c r="A37" s="4"/>
      <c r="B37" s="155" t="s">
        <v>14</v>
      </c>
      <c r="C37" s="136"/>
      <c r="D37" s="136"/>
      <c r="E37" s="136"/>
      <c r="F37" s="137"/>
      <c r="G37" s="10">
        <f>SUM(G33:G36)</f>
        <v>507.375</v>
      </c>
    </row>
    <row r="38" spans="1:7">
      <c r="A38" s="4"/>
      <c r="B38" s="157" t="s">
        <v>59</v>
      </c>
      <c r="C38" s="136"/>
      <c r="D38" s="136"/>
      <c r="E38" s="136"/>
      <c r="F38" s="136"/>
      <c r="G38" s="137"/>
    </row>
    <row r="39" spans="1:7">
      <c r="A39" s="4"/>
      <c r="B39" s="6" t="s">
        <v>56</v>
      </c>
      <c r="C39" s="7" t="s">
        <v>12</v>
      </c>
      <c r="D39" s="7">
        <v>1</v>
      </c>
      <c r="E39" s="17">
        <v>5.5</v>
      </c>
      <c r="F39" s="17">
        <v>4</v>
      </c>
      <c r="G39" s="8">
        <f t="shared" ref="G39:G52" si="3">F39*E39*D39</f>
        <v>22</v>
      </c>
    </row>
    <row r="40" spans="1:7">
      <c r="A40" s="4"/>
      <c r="B40" s="4"/>
      <c r="C40" s="7" t="s">
        <v>12</v>
      </c>
      <c r="D40" s="7">
        <v>1</v>
      </c>
      <c r="E40" s="17">
        <v>25.5</v>
      </c>
      <c r="F40" s="17">
        <v>4</v>
      </c>
      <c r="G40" s="8">
        <f t="shared" si="3"/>
        <v>102</v>
      </c>
    </row>
    <row r="41" spans="1:7">
      <c r="A41" s="4"/>
      <c r="B41" s="4"/>
      <c r="C41" s="7" t="s">
        <v>12</v>
      </c>
      <c r="D41" s="7">
        <v>1</v>
      </c>
      <c r="E41" s="17">
        <v>18</v>
      </c>
      <c r="F41" s="17">
        <v>4</v>
      </c>
      <c r="G41" s="8">
        <f t="shared" si="3"/>
        <v>72</v>
      </c>
    </row>
    <row r="42" spans="1:7">
      <c r="A42" s="4"/>
      <c r="B42" s="4"/>
      <c r="C42" s="7" t="s">
        <v>12</v>
      </c>
      <c r="D42" s="7">
        <v>1</v>
      </c>
      <c r="E42" s="17">
        <v>25.75</v>
      </c>
      <c r="F42" s="17">
        <v>4</v>
      </c>
      <c r="G42" s="8">
        <f t="shared" si="3"/>
        <v>103</v>
      </c>
    </row>
    <row r="43" spans="1:7">
      <c r="A43" s="4"/>
      <c r="B43" s="6" t="s">
        <v>211</v>
      </c>
      <c r="C43" s="7" t="s">
        <v>12</v>
      </c>
      <c r="D43" s="17">
        <v>2</v>
      </c>
      <c r="E43" s="17">
        <v>11.25</v>
      </c>
      <c r="F43" s="17">
        <v>4</v>
      </c>
      <c r="G43" s="8">
        <f t="shared" si="3"/>
        <v>90</v>
      </c>
    </row>
    <row r="44" spans="1:7">
      <c r="A44" s="4"/>
      <c r="B44" s="4"/>
      <c r="C44" s="7" t="s">
        <v>12</v>
      </c>
      <c r="D44" s="17">
        <v>2</v>
      </c>
      <c r="E44" s="17">
        <v>22.25</v>
      </c>
      <c r="F44" s="17">
        <v>4</v>
      </c>
      <c r="G44" s="8">
        <f t="shared" si="3"/>
        <v>178</v>
      </c>
    </row>
    <row r="45" spans="1:7">
      <c r="A45" s="4"/>
      <c r="B45" s="6" t="s">
        <v>212</v>
      </c>
      <c r="C45" s="7" t="s">
        <v>12</v>
      </c>
      <c r="D45" s="17">
        <v>2</v>
      </c>
      <c r="E45" s="17">
        <v>11.25</v>
      </c>
      <c r="F45" s="17">
        <v>4</v>
      </c>
      <c r="G45" s="8">
        <f t="shared" si="3"/>
        <v>90</v>
      </c>
    </row>
    <row r="46" spans="1:7">
      <c r="A46" s="4"/>
      <c r="B46" s="4"/>
      <c r="C46" s="7" t="s">
        <v>12</v>
      </c>
      <c r="D46" s="17">
        <v>2</v>
      </c>
      <c r="E46" s="17">
        <v>18.25</v>
      </c>
      <c r="F46" s="17">
        <v>4</v>
      </c>
      <c r="G46" s="8">
        <f t="shared" si="3"/>
        <v>146</v>
      </c>
    </row>
    <row r="47" spans="1:7">
      <c r="A47" s="4"/>
      <c r="B47" s="6" t="s">
        <v>213</v>
      </c>
      <c r="C47" s="7" t="s">
        <v>12</v>
      </c>
      <c r="D47" s="17">
        <v>3</v>
      </c>
      <c r="E47" s="17">
        <v>11.25</v>
      </c>
      <c r="F47" s="17">
        <v>4</v>
      </c>
      <c r="G47" s="8">
        <f t="shared" si="3"/>
        <v>135</v>
      </c>
    </row>
    <row r="48" spans="1:7">
      <c r="A48" s="4"/>
      <c r="B48" s="4"/>
      <c r="C48" s="7" t="s">
        <v>12</v>
      </c>
      <c r="D48" s="17">
        <v>2</v>
      </c>
      <c r="E48" s="17">
        <v>26.25</v>
      </c>
      <c r="F48" s="17">
        <v>4</v>
      </c>
      <c r="G48" s="8">
        <f t="shared" si="3"/>
        <v>210</v>
      </c>
    </row>
    <row r="49" spans="1:7">
      <c r="A49" s="4"/>
      <c r="B49" s="6" t="s">
        <v>214</v>
      </c>
      <c r="C49" s="7" t="s">
        <v>12</v>
      </c>
      <c r="D49" s="17">
        <v>1</v>
      </c>
      <c r="E49" s="17">
        <v>9.5</v>
      </c>
      <c r="F49" s="17">
        <v>4</v>
      </c>
      <c r="G49" s="8">
        <f t="shared" si="3"/>
        <v>38</v>
      </c>
    </row>
    <row r="50" spans="1:7">
      <c r="A50" s="4"/>
      <c r="B50" s="6" t="s">
        <v>215</v>
      </c>
      <c r="C50" s="7" t="s">
        <v>12</v>
      </c>
      <c r="D50" s="17">
        <v>1</v>
      </c>
      <c r="E50" s="17">
        <v>10.75</v>
      </c>
      <c r="F50" s="17">
        <v>4</v>
      </c>
      <c r="G50" s="8">
        <f t="shared" si="3"/>
        <v>43</v>
      </c>
    </row>
    <row r="51" spans="1:7">
      <c r="A51" s="4"/>
      <c r="B51" s="6" t="s">
        <v>216</v>
      </c>
      <c r="C51" s="7" t="s">
        <v>12</v>
      </c>
      <c r="D51" s="17">
        <v>1</v>
      </c>
      <c r="E51" s="17">
        <v>27.5</v>
      </c>
      <c r="F51" s="17">
        <v>4</v>
      </c>
      <c r="G51" s="8">
        <f t="shared" si="3"/>
        <v>110</v>
      </c>
    </row>
    <row r="52" spans="1:7">
      <c r="A52" s="4"/>
      <c r="B52" s="4"/>
      <c r="C52" s="7" t="s">
        <v>12</v>
      </c>
      <c r="D52" s="17">
        <v>1</v>
      </c>
      <c r="E52" s="17">
        <v>13</v>
      </c>
      <c r="F52" s="17">
        <v>4</v>
      </c>
      <c r="G52" s="8">
        <f t="shared" si="3"/>
        <v>52</v>
      </c>
    </row>
    <row r="53" spans="1:7">
      <c r="A53" s="4"/>
      <c r="B53" s="4"/>
      <c r="C53" s="4"/>
      <c r="D53" s="4"/>
      <c r="E53" s="4"/>
      <c r="F53" s="4"/>
      <c r="G53" s="4"/>
    </row>
    <row r="54" spans="1:7" ht="15.75">
      <c r="A54" s="4"/>
      <c r="B54" s="155" t="s">
        <v>14</v>
      </c>
      <c r="C54" s="136"/>
      <c r="D54" s="136"/>
      <c r="E54" s="136"/>
      <c r="F54" s="137"/>
      <c r="G54" s="10">
        <f>SUM(G39:G53)</f>
        <v>1391</v>
      </c>
    </row>
    <row r="55" spans="1:7">
      <c r="A55" s="4"/>
      <c r="B55" s="157" t="s">
        <v>222</v>
      </c>
      <c r="C55" s="136"/>
      <c r="D55" s="136"/>
      <c r="E55" s="136"/>
      <c r="F55" s="136"/>
      <c r="G55" s="137"/>
    </row>
    <row r="56" spans="1:7">
      <c r="A56" s="4"/>
      <c r="B56" s="6" t="s">
        <v>206</v>
      </c>
      <c r="C56" s="7" t="s">
        <v>12</v>
      </c>
      <c r="D56" s="7">
        <v>1</v>
      </c>
      <c r="E56" s="17">
        <v>1</v>
      </c>
      <c r="F56" s="17">
        <v>1</v>
      </c>
      <c r="G56" s="8">
        <f>F56*E56*D56</f>
        <v>1</v>
      </c>
    </row>
    <row r="57" spans="1:7">
      <c r="A57" s="4"/>
      <c r="B57" s="9"/>
      <c r="C57" s="7"/>
      <c r="D57" s="7"/>
      <c r="E57" s="7"/>
      <c r="F57" s="7"/>
      <c r="G57" s="8"/>
    </row>
    <row r="58" spans="1:7" ht="15.75">
      <c r="A58" s="4"/>
      <c r="B58" s="155" t="s">
        <v>14</v>
      </c>
      <c r="C58" s="136"/>
      <c r="D58" s="136"/>
      <c r="E58" s="136"/>
      <c r="F58" s="137"/>
      <c r="G58" s="10">
        <f>SUM(G56:G57)</f>
        <v>1</v>
      </c>
    </row>
    <row r="59" spans="1:7">
      <c r="A59" s="4"/>
      <c r="B59" s="157" t="s">
        <v>86</v>
      </c>
      <c r="C59" s="136"/>
      <c r="D59" s="136"/>
      <c r="E59" s="136"/>
      <c r="F59" s="136"/>
      <c r="G59" s="137"/>
    </row>
    <row r="60" spans="1:7">
      <c r="A60" s="4"/>
      <c r="B60" s="6" t="s">
        <v>211</v>
      </c>
      <c r="C60" s="7" t="s">
        <v>12</v>
      </c>
      <c r="D60" s="17">
        <v>1</v>
      </c>
      <c r="E60" s="17">
        <v>21.75</v>
      </c>
      <c r="F60" s="17">
        <v>11.25</v>
      </c>
      <c r="G60" s="8">
        <f t="shared" ref="G60:G64" si="4">F60*E60*D60</f>
        <v>244.6875</v>
      </c>
    </row>
    <row r="61" spans="1:7">
      <c r="A61" s="4"/>
      <c r="B61" s="6" t="s">
        <v>212</v>
      </c>
      <c r="C61" s="7" t="s">
        <v>12</v>
      </c>
      <c r="D61" s="17">
        <v>1</v>
      </c>
      <c r="E61" s="17">
        <v>11.5</v>
      </c>
      <c r="F61" s="17">
        <v>18</v>
      </c>
      <c r="G61" s="8">
        <f t="shared" si="4"/>
        <v>207</v>
      </c>
    </row>
    <row r="62" spans="1:7">
      <c r="A62" s="4"/>
      <c r="B62" s="6" t="s">
        <v>213</v>
      </c>
      <c r="C62" s="7" t="s">
        <v>12</v>
      </c>
      <c r="D62" s="17">
        <v>1</v>
      </c>
      <c r="E62" s="17">
        <v>26</v>
      </c>
      <c r="F62" s="17">
        <v>10.75</v>
      </c>
      <c r="G62" s="8">
        <f t="shared" si="4"/>
        <v>279.5</v>
      </c>
    </row>
    <row r="63" spans="1:7">
      <c r="A63" s="4"/>
      <c r="B63" s="6" t="s">
        <v>216</v>
      </c>
      <c r="C63" s="7" t="s">
        <v>12</v>
      </c>
      <c r="D63" s="17">
        <v>1</v>
      </c>
      <c r="E63" s="17">
        <v>17.75</v>
      </c>
      <c r="F63" s="17">
        <v>10.75</v>
      </c>
      <c r="G63" s="8">
        <f t="shared" si="4"/>
        <v>190.8125</v>
      </c>
    </row>
    <row r="64" spans="1:7">
      <c r="A64" s="4"/>
      <c r="B64" s="6" t="s">
        <v>67</v>
      </c>
      <c r="C64" s="7" t="s">
        <v>12</v>
      </c>
      <c r="D64" s="17">
        <v>1</v>
      </c>
      <c r="E64" s="17">
        <v>1172</v>
      </c>
      <c r="F64" s="17">
        <v>1</v>
      </c>
      <c r="G64" s="8">
        <f t="shared" si="4"/>
        <v>1172</v>
      </c>
    </row>
    <row r="65" spans="1:7">
      <c r="A65" s="4"/>
      <c r="B65" s="4"/>
      <c r="C65" s="7"/>
      <c r="D65" s="7"/>
      <c r="E65" s="17"/>
      <c r="F65" s="17"/>
      <c r="G65" s="8"/>
    </row>
    <row r="66" spans="1:7" ht="15.75">
      <c r="A66" s="4"/>
      <c r="B66" s="155" t="s">
        <v>14</v>
      </c>
      <c r="C66" s="136"/>
      <c r="D66" s="136"/>
      <c r="E66" s="136"/>
      <c r="F66" s="137"/>
      <c r="G66" s="130">
        <v>1</v>
      </c>
    </row>
    <row r="67" spans="1:7">
      <c r="A67" s="4"/>
      <c r="B67" s="157" t="s">
        <v>223</v>
      </c>
      <c r="C67" s="136"/>
      <c r="D67" s="136"/>
      <c r="E67" s="136"/>
      <c r="F67" s="136"/>
      <c r="G67" s="137"/>
    </row>
    <row r="68" spans="1:7">
      <c r="A68" s="4"/>
      <c r="B68" s="6" t="s">
        <v>206</v>
      </c>
      <c r="C68" s="7" t="s">
        <v>12</v>
      </c>
      <c r="D68" s="7">
        <v>1</v>
      </c>
      <c r="E68" s="17">
        <v>1</v>
      </c>
      <c r="F68" s="17">
        <v>1</v>
      </c>
      <c r="G68" s="8">
        <f>F68*E68*D68</f>
        <v>1</v>
      </c>
    </row>
    <row r="69" spans="1:7">
      <c r="A69" s="4"/>
      <c r="B69" s="9"/>
      <c r="C69" s="7"/>
      <c r="D69" s="7"/>
      <c r="E69" s="7"/>
      <c r="F69" s="7"/>
      <c r="G69" s="8"/>
    </row>
    <row r="70" spans="1:7" ht="15.75">
      <c r="A70" s="4"/>
      <c r="B70" s="155" t="s">
        <v>14</v>
      </c>
      <c r="C70" s="136"/>
      <c r="D70" s="136"/>
      <c r="E70" s="136"/>
      <c r="F70" s="137"/>
      <c r="G70" s="10">
        <f>SUM(G68:G69)</f>
        <v>1</v>
      </c>
    </row>
    <row r="71" spans="1:7">
      <c r="A71" s="4"/>
      <c r="B71" s="157" t="s">
        <v>224</v>
      </c>
      <c r="C71" s="136"/>
      <c r="D71" s="136"/>
      <c r="E71" s="136"/>
      <c r="F71" s="136"/>
      <c r="G71" s="137"/>
    </row>
    <row r="72" spans="1:7">
      <c r="A72" s="4"/>
      <c r="B72" s="6" t="s">
        <v>206</v>
      </c>
      <c r="C72" s="7" t="s">
        <v>12</v>
      </c>
      <c r="D72" s="7">
        <v>1</v>
      </c>
      <c r="E72" s="17">
        <v>1</v>
      </c>
      <c r="F72" s="17">
        <v>1</v>
      </c>
      <c r="G72" s="8">
        <f>F72*E72*D72</f>
        <v>1</v>
      </c>
    </row>
    <row r="73" spans="1:7">
      <c r="A73" s="4"/>
      <c r="B73" s="9"/>
      <c r="C73" s="7"/>
      <c r="D73" s="7"/>
      <c r="E73" s="7"/>
      <c r="F73" s="7"/>
      <c r="G73" s="8"/>
    </row>
    <row r="74" spans="1:7" ht="15.75">
      <c r="A74" s="4"/>
      <c r="B74" s="155" t="s">
        <v>14</v>
      </c>
      <c r="C74" s="136"/>
      <c r="D74" s="136"/>
      <c r="E74" s="136"/>
      <c r="F74" s="137"/>
      <c r="G74" s="10">
        <f>SUM(G72:G73)</f>
        <v>1</v>
      </c>
    </row>
    <row r="75" spans="1:7">
      <c r="A75" s="4"/>
      <c r="B75" s="157" t="s">
        <v>131</v>
      </c>
      <c r="C75" s="136"/>
      <c r="D75" s="136"/>
      <c r="E75" s="136"/>
      <c r="F75" s="136"/>
      <c r="G75" s="137"/>
    </row>
    <row r="76" spans="1:7">
      <c r="A76" s="4"/>
      <c r="B76" s="6" t="s">
        <v>206</v>
      </c>
      <c r="C76" s="7" t="s">
        <v>12</v>
      </c>
      <c r="D76" s="17">
        <v>15</v>
      </c>
      <c r="E76" s="17">
        <v>1</v>
      </c>
      <c r="F76" s="17">
        <v>1</v>
      </c>
      <c r="G76" s="8">
        <f>F76*E76*D76</f>
        <v>15</v>
      </c>
    </row>
    <row r="77" spans="1:7">
      <c r="A77" s="4"/>
      <c r="B77" s="9"/>
      <c r="C77" s="7"/>
      <c r="D77" s="7"/>
      <c r="E77" s="7"/>
      <c r="F77" s="7"/>
      <c r="G77" s="8"/>
    </row>
    <row r="78" spans="1:7" ht="15.75">
      <c r="A78" s="4"/>
      <c r="B78" s="155" t="s">
        <v>14</v>
      </c>
      <c r="C78" s="136"/>
      <c r="D78" s="136"/>
      <c r="E78" s="136"/>
      <c r="F78" s="137"/>
      <c r="G78" s="10">
        <f>SUM(G76:G77)</f>
        <v>15</v>
      </c>
    </row>
    <row r="79" spans="1:7">
      <c r="A79" s="4"/>
      <c r="B79" s="157" t="s">
        <v>76</v>
      </c>
      <c r="C79" s="136"/>
      <c r="D79" s="136"/>
      <c r="E79" s="136"/>
      <c r="F79" s="136"/>
      <c r="G79" s="137"/>
    </row>
    <row r="80" spans="1:7">
      <c r="A80" s="4"/>
      <c r="B80" s="6" t="s">
        <v>225</v>
      </c>
      <c r="C80" s="17" t="s">
        <v>6</v>
      </c>
      <c r="D80" s="7">
        <v>1</v>
      </c>
      <c r="E80" s="17">
        <v>1</v>
      </c>
      <c r="F80" s="17">
        <v>1</v>
      </c>
      <c r="G80" s="8">
        <f t="shared" ref="G80:G86" si="5">F80*E80*D80</f>
        <v>1</v>
      </c>
    </row>
    <row r="81" spans="1:7">
      <c r="A81" s="4"/>
      <c r="B81" s="6" t="s">
        <v>211</v>
      </c>
      <c r="C81" s="17" t="s">
        <v>6</v>
      </c>
      <c r="D81" s="17">
        <v>2</v>
      </c>
      <c r="E81" s="17">
        <v>1</v>
      </c>
      <c r="F81" s="17">
        <v>1</v>
      </c>
      <c r="G81" s="8">
        <f t="shared" si="5"/>
        <v>2</v>
      </c>
    </row>
    <row r="82" spans="1:7">
      <c r="A82" s="4"/>
      <c r="B82" s="6" t="s">
        <v>212</v>
      </c>
      <c r="C82" s="17" t="s">
        <v>6</v>
      </c>
      <c r="D82" s="17">
        <v>2</v>
      </c>
      <c r="E82" s="17">
        <v>1</v>
      </c>
      <c r="F82" s="17">
        <v>1</v>
      </c>
      <c r="G82" s="8">
        <f t="shared" si="5"/>
        <v>2</v>
      </c>
    </row>
    <row r="83" spans="1:7">
      <c r="A83" s="4"/>
      <c r="B83" s="6" t="s">
        <v>213</v>
      </c>
      <c r="C83" s="17" t="s">
        <v>6</v>
      </c>
      <c r="D83" s="17">
        <v>3</v>
      </c>
      <c r="E83" s="17">
        <v>1</v>
      </c>
      <c r="F83" s="17">
        <v>1</v>
      </c>
      <c r="G83" s="8">
        <f t="shared" si="5"/>
        <v>3</v>
      </c>
    </row>
    <row r="84" spans="1:7">
      <c r="A84" s="4"/>
      <c r="B84" s="6" t="s">
        <v>214</v>
      </c>
      <c r="C84" s="17" t="s">
        <v>6</v>
      </c>
      <c r="D84" s="17">
        <v>1</v>
      </c>
      <c r="E84" s="17">
        <v>1</v>
      </c>
      <c r="F84" s="17">
        <v>1</v>
      </c>
      <c r="G84" s="8">
        <f t="shared" si="5"/>
        <v>1</v>
      </c>
    </row>
    <row r="85" spans="1:7">
      <c r="A85" s="4"/>
      <c r="B85" s="6" t="s">
        <v>216</v>
      </c>
      <c r="C85" s="17" t="s">
        <v>6</v>
      </c>
      <c r="D85" s="17">
        <v>1</v>
      </c>
      <c r="E85" s="17">
        <v>1</v>
      </c>
      <c r="F85" s="17">
        <v>1</v>
      </c>
      <c r="G85" s="8">
        <f t="shared" si="5"/>
        <v>1</v>
      </c>
    </row>
    <row r="86" spans="1:7">
      <c r="A86" s="4"/>
      <c r="B86" s="6" t="s">
        <v>215</v>
      </c>
      <c r="C86" s="17" t="s">
        <v>6</v>
      </c>
      <c r="D86" s="17">
        <v>3</v>
      </c>
      <c r="E86" s="17">
        <v>1</v>
      </c>
      <c r="F86" s="17">
        <v>1</v>
      </c>
      <c r="G86" s="8">
        <f t="shared" si="5"/>
        <v>3</v>
      </c>
    </row>
    <row r="87" spans="1:7">
      <c r="A87" s="4"/>
      <c r="B87" s="9"/>
      <c r="C87" s="7"/>
      <c r="D87" s="7"/>
      <c r="E87" s="7"/>
      <c r="F87" s="7"/>
      <c r="G87" s="8"/>
    </row>
    <row r="88" spans="1:7" ht="15.75">
      <c r="A88" s="4"/>
      <c r="B88" s="155" t="s">
        <v>14</v>
      </c>
      <c r="C88" s="136"/>
      <c r="D88" s="136"/>
      <c r="E88" s="136"/>
      <c r="F88" s="137"/>
      <c r="G88" s="10">
        <f>SUM(G80:G87)</f>
        <v>13</v>
      </c>
    </row>
    <row r="89" spans="1:7" ht="15.75">
      <c r="A89" s="4"/>
      <c r="B89" s="57"/>
      <c r="C89" s="57"/>
      <c r="D89" s="57"/>
      <c r="E89" s="57"/>
      <c r="F89" s="57"/>
      <c r="G89" s="10"/>
    </row>
    <row r="90" spans="1:7">
      <c r="A90" s="5"/>
      <c r="B90" s="159" t="s">
        <v>15</v>
      </c>
      <c r="C90" s="136"/>
      <c r="D90" s="136"/>
      <c r="E90" s="136"/>
      <c r="F90" s="136"/>
      <c r="G90" s="137"/>
    </row>
    <row r="91" spans="1:7">
      <c r="A91" s="4"/>
      <c r="B91" s="4"/>
      <c r="C91" s="4"/>
      <c r="D91" s="4"/>
      <c r="E91" s="4"/>
      <c r="F91" s="4"/>
      <c r="G91" s="4"/>
    </row>
    <row r="92" spans="1:7">
      <c r="A92" s="14">
        <v>1</v>
      </c>
      <c r="B92" s="156" t="s">
        <v>22</v>
      </c>
      <c r="C92" s="136"/>
      <c r="D92" s="136"/>
      <c r="E92" s="136"/>
      <c r="F92" s="136"/>
      <c r="G92" s="137"/>
    </row>
    <row r="93" spans="1:7">
      <c r="A93" s="14"/>
      <c r="B93" s="157" t="s">
        <v>23</v>
      </c>
      <c r="C93" s="136"/>
      <c r="D93" s="136"/>
      <c r="E93" s="136"/>
      <c r="F93" s="136"/>
      <c r="G93" s="137"/>
    </row>
    <row r="94" spans="1:7">
      <c r="A94" s="9"/>
      <c r="B94" s="9" t="s">
        <v>23</v>
      </c>
      <c r="C94" s="7" t="s">
        <v>12</v>
      </c>
      <c r="D94" s="7">
        <v>1</v>
      </c>
      <c r="E94" s="17">
        <v>14.25</v>
      </c>
      <c r="F94" s="17">
        <v>2</v>
      </c>
      <c r="G94" s="8">
        <f>F94*E94*D94</f>
        <v>28.5</v>
      </c>
    </row>
    <row r="95" spans="1:7">
      <c r="A95" s="9"/>
      <c r="B95" s="9"/>
      <c r="C95" s="7"/>
      <c r="D95" s="7"/>
      <c r="E95" s="7"/>
      <c r="F95" s="7"/>
      <c r="G95" s="8"/>
    </row>
    <row r="96" spans="1:7" ht="15.75">
      <c r="A96" s="9"/>
      <c r="B96" s="155" t="s">
        <v>14</v>
      </c>
      <c r="C96" s="136"/>
      <c r="D96" s="136"/>
      <c r="E96" s="136"/>
      <c r="F96" s="137"/>
      <c r="G96" s="10">
        <f>SUM(G94:G95)</f>
        <v>28.5</v>
      </c>
    </row>
    <row r="97" spans="1:7">
      <c r="A97" s="4"/>
      <c r="B97" s="4"/>
      <c r="C97" s="4"/>
      <c r="D97" s="4"/>
      <c r="E97" s="4"/>
      <c r="F97" s="4"/>
      <c r="G97" s="4"/>
    </row>
    <row r="98" spans="1:7">
      <c r="A98" s="4"/>
      <c r="B98" s="4"/>
      <c r="C98" s="4"/>
      <c r="D98" s="4"/>
      <c r="E98" s="4"/>
      <c r="F98" s="4"/>
      <c r="G98" s="4"/>
    </row>
    <row r="99" spans="1:7">
      <c r="A99" s="14">
        <v>2</v>
      </c>
      <c r="B99" s="157" t="s">
        <v>26</v>
      </c>
      <c r="C99" s="136"/>
      <c r="D99" s="136"/>
      <c r="E99" s="136"/>
      <c r="F99" s="136"/>
      <c r="G99" s="137"/>
    </row>
    <row r="100" spans="1:7">
      <c r="A100" s="9"/>
      <c r="B100" s="6" t="s">
        <v>23</v>
      </c>
      <c r="C100" s="7" t="s">
        <v>12</v>
      </c>
      <c r="D100" s="7">
        <v>1</v>
      </c>
      <c r="E100" s="7">
        <v>1</v>
      </c>
      <c r="F100" s="7">
        <v>1</v>
      </c>
      <c r="G100" s="8">
        <f>F100*E100*D100</f>
        <v>1</v>
      </c>
    </row>
    <row r="101" spans="1:7">
      <c r="A101" s="9"/>
      <c r="B101" s="4"/>
      <c r="C101" s="4"/>
      <c r="D101" s="4"/>
      <c r="E101" s="4"/>
      <c r="F101" s="4"/>
      <c r="G101" s="4"/>
    </row>
    <row r="102" spans="1:7" ht="15.75">
      <c r="A102" s="9"/>
      <c r="B102" s="155" t="s">
        <v>14</v>
      </c>
      <c r="C102" s="136"/>
      <c r="D102" s="136"/>
      <c r="E102" s="136"/>
      <c r="F102" s="137"/>
      <c r="G102" s="10">
        <f>SUM(G100:G101)</f>
        <v>1</v>
      </c>
    </row>
    <row r="103" spans="1:7">
      <c r="A103" s="14">
        <v>3.1</v>
      </c>
      <c r="B103" s="157" t="s">
        <v>28</v>
      </c>
      <c r="C103" s="136"/>
      <c r="D103" s="136"/>
      <c r="E103" s="136"/>
      <c r="F103" s="136"/>
      <c r="G103" s="137"/>
    </row>
    <row r="104" spans="1:7">
      <c r="A104" s="9"/>
      <c r="B104" s="157" t="s">
        <v>29</v>
      </c>
      <c r="C104" s="136"/>
      <c r="D104" s="136"/>
      <c r="E104" s="136"/>
      <c r="F104" s="136"/>
      <c r="G104" s="137"/>
    </row>
    <row r="105" spans="1:7">
      <c r="A105" s="9"/>
      <c r="B105" s="6" t="s">
        <v>23</v>
      </c>
      <c r="C105" s="7" t="s">
        <v>12</v>
      </c>
      <c r="D105" s="7">
        <v>1</v>
      </c>
      <c r="E105" s="7">
        <v>1</v>
      </c>
      <c r="F105" s="7">
        <v>1</v>
      </c>
      <c r="G105" s="8">
        <f>F105*E105*D105</f>
        <v>1</v>
      </c>
    </row>
    <row r="106" spans="1:7">
      <c r="A106" s="9"/>
      <c r="B106" s="4"/>
      <c r="C106" s="4"/>
      <c r="D106" s="4"/>
      <c r="E106" s="4"/>
      <c r="F106" s="4"/>
      <c r="G106" s="4"/>
    </row>
    <row r="107" spans="1:7" ht="15.75">
      <c r="A107" s="9"/>
      <c r="B107" s="155" t="s">
        <v>14</v>
      </c>
      <c r="C107" s="136"/>
      <c r="D107" s="136"/>
      <c r="E107" s="136"/>
      <c r="F107" s="137"/>
      <c r="G107" s="10">
        <f>SUM(G105:G106)</f>
        <v>1</v>
      </c>
    </row>
    <row r="108" spans="1:7">
      <c r="A108" s="14">
        <v>3.2</v>
      </c>
      <c r="B108" s="157" t="s">
        <v>31</v>
      </c>
      <c r="C108" s="136"/>
      <c r="D108" s="136"/>
      <c r="E108" s="136"/>
      <c r="F108" s="136"/>
      <c r="G108" s="137"/>
    </row>
    <row r="109" spans="1:7">
      <c r="A109" s="9"/>
      <c r="B109" s="6" t="s">
        <v>23</v>
      </c>
      <c r="C109" s="7" t="s">
        <v>12</v>
      </c>
      <c r="D109" s="7">
        <v>1</v>
      </c>
      <c r="E109" s="7">
        <v>1</v>
      </c>
      <c r="F109" s="7">
        <v>1</v>
      </c>
      <c r="G109" s="8">
        <f>F109*E109*D109</f>
        <v>1</v>
      </c>
    </row>
    <row r="110" spans="1:7">
      <c r="A110" s="9"/>
      <c r="B110" s="4"/>
      <c r="C110" s="4"/>
      <c r="D110" s="4"/>
      <c r="E110" s="4"/>
      <c r="F110" s="4"/>
      <c r="G110" s="4"/>
    </row>
    <row r="111" spans="1:7" ht="15.75">
      <c r="A111" s="9"/>
      <c r="B111" s="155" t="s">
        <v>14</v>
      </c>
      <c r="C111" s="136"/>
      <c r="D111" s="136"/>
      <c r="E111" s="136"/>
      <c r="F111" s="137"/>
      <c r="G111" s="10">
        <f>SUM(G109:G110)</f>
        <v>1</v>
      </c>
    </row>
    <row r="112" spans="1:7">
      <c r="A112" s="14">
        <v>4</v>
      </c>
      <c r="B112" s="157" t="s">
        <v>142</v>
      </c>
      <c r="C112" s="136"/>
      <c r="D112" s="136"/>
      <c r="E112" s="136"/>
      <c r="F112" s="136"/>
      <c r="G112" s="137"/>
    </row>
    <row r="113" spans="1:7">
      <c r="A113" s="9"/>
      <c r="B113" s="6" t="s">
        <v>23</v>
      </c>
      <c r="C113" s="7" t="s">
        <v>12</v>
      </c>
      <c r="D113" s="7">
        <v>1</v>
      </c>
      <c r="E113" s="7">
        <v>1</v>
      </c>
      <c r="F113" s="7">
        <v>1</v>
      </c>
      <c r="G113" s="8">
        <f>F113*E113*D113</f>
        <v>1</v>
      </c>
    </row>
    <row r="114" spans="1:7">
      <c r="A114" s="9"/>
      <c r="B114" s="4"/>
      <c r="C114" s="4"/>
      <c r="D114" s="4"/>
      <c r="E114" s="4"/>
      <c r="F114" s="4"/>
      <c r="G114" s="4"/>
    </row>
    <row r="115" spans="1:7" ht="15.75">
      <c r="A115" s="9"/>
      <c r="B115" s="155" t="s">
        <v>14</v>
      </c>
      <c r="C115" s="136"/>
      <c r="D115" s="136"/>
      <c r="E115" s="136"/>
      <c r="F115" s="137"/>
      <c r="G115" s="10">
        <f>SUM(G113:G114)</f>
        <v>1</v>
      </c>
    </row>
    <row r="116" spans="1:7">
      <c r="A116" s="14">
        <v>5</v>
      </c>
      <c r="B116" s="157" t="s">
        <v>145</v>
      </c>
      <c r="C116" s="136"/>
      <c r="D116" s="136"/>
      <c r="E116" s="136"/>
      <c r="F116" s="136"/>
      <c r="G116" s="137"/>
    </row>
    <row r="117" spans="1:7">
      <c r="A117" s="9"/>
      <c r="B117" s="6" t="s">
        <v>202</v>
      </c>
      <c r="C117" s="7" t="s">
        <v>12</v>
      </c>
      <c r="D117" s="7">
        <v>1</v>
      </c>
      <c r="E117" s="7">
        <v>1</v>
      </c>
      <c r="F117" s="7">
        <v>1</v>
      </c>
      <c r="G117" s="8">
        <f>F117*E117*D117</f>
        <v>1</v>
      </c>
    </row>
    <row r="118" spans="1:7">
      <c r="A118" s="9"/>
      <c r="B118" s="4"/>
      <c r="C118" s="4"/>
      <c r="D118" s="4"/>
      <c r="E118" s="4"/>
      <c r="F118" s="4"/>
      <c r="G118" s="4"/>
    </row>
    <row r="119" spans="1:7" ht="15.75">
      <c r="A119" s="9"/>
      <c r="B119" s="155" t="s">
        <v>14</v>
      </c>
      <c r="C119" s="136"/>
      <c r="D119" s="136"/>
      <c r="E119" s="136"/>
      <c r="F119" s="137"/>
      <c r="G119" s="10">
        <f>SUM(G117:G118)</f>
        <v>1</v>
      </c>
    </row>
    <row r="120" spans="1:7">
      <c r="A120" s="14">
        <v>6</v>
      </c>
      <c r="B120" s="157" t="s">
        <v>226</v>
      </c>
      <c r="C120" s="136"/>
      <c r="D120" s="136"/>
      <c r="E120" s="136"/>
      <c r="F120" s="136"/>
      <c r="G120" s="137"/>
    </row>
    <row r="121" spans="1:7">
      <c r="A121" s="9"/>
      <c r="B121" s="6" t="s">
        <v>202</v>
      </c>
      <c r="C121" s="7" t="s">
        <v>12</v>
      </c>
      <c r="D121" s="7">
        <v>1</v>
      </c>
      <c r="E121" s="7">
        <v>1</v>
      </c>
      <c r="F121" s="7">
        <v>1</v>
      </c>
      <c r="G121" s="8">
        <f>F121*E121*D121</f>
        <v>1</v>
      </c>
    </row>
    <row r="122" spans="1:7">
      <c r="A122" s="9"/>
      <c r="B122" s="4"/>
      <c r="C122" s="4"/>
      <c r="D122" s="4"/>
      <c r="E122" s="4"/>
      <c r="F122" s="4"/>
      <c r="G122" s="4"/>
    </row>
    <row r="123" spans="1:7" ht="15.75">
      <c r="A123" s="9"/>
      <c r="B123" s="155" t="s">
        <v>14</v>
      </c>
      <c r="C123" s="136"/>
      <c r="D123" s="136"/>
      <c r="E123" s="136"/>
      <c r="F123" s="137"/>
      <c r="G123" s="10">
        <f>SUM(G121:G122)</f>
        <v>1</v>
      </c>
    </row>
    <row r="124" spans="1:7">
      <c r="A124" s="9"/>
      <c r="B124" s="9"/>
      <c r="C124" s="7"/>
      <c r="D124" s="7"/>
      <c r="E124" s="7"/>
      <c r="F124" s="7"/>
      <c r="G124" s="8"/>
    </row>
    <row r="125" spans="1:7">
      <c r="A125" s="5"/>
      <c r="B125" s="159" t="s">
        <v>32</v>
      </c>
      <c r="C125" s="136"/>
      <c r="D125" s="136"/>
      <c r="E125" s="136"/>
      <c r="F125" s="136"/>
      <c r="G125" s="137"/>
    </row>
    <row r="126" spans="1:7">
      <c r="A126" s="31">
        <v>1.1000000000000001</v>
      </c>
      <c r="B126" s="156" t="s">
        <v>34</v>
      </c>
      <c r="C126" s="136"/>
      <c r="D126" s="136"/>
      <c r="E126" s="136"/>
      <c r="F126" s="136"/>
      <c r="G126" s="137"/>
    </row>
    <row r="127" spans="1:7">
      <c r="A127" s="9"/>
      <c r="B127" s="6" t="s">
        <v>35</v>
      </c>
      <c r="C127" s="7" t="s">
        <v>12</v>
      </c>
      <c r="D127" s="7">
        <v>1</v>
      </c>
      <c r="E127" s="17">
        <v>7</v>
      </c>
      <c r="F127" s="7">
        <v>7</v>
      </c>
      <c r="G127" s="8">
        <f t="shared" ref="G127:G135" si="6">F127*E127*D127</f>
        <v>49</v>
      </c>
    </row>
    <row r="128" spans="1:7">
      <c r="A128" s="9"/>
      <c r="B128" s="6" t="s">
        <v>36</v>
      </c>
      <c r="C128" s="7" t="s">
        <v>12</v>
      </c>
      <c r="D128" s="7">
        <v>1</v>
      </c>
      <c r="E128" s="17">
        <v>10</v>
      </c>
      <c r="F128" s="7">
        <v>7</v>
      </c>
      <c r="G128" s="8">
        <f t="shared" si="6"/>
        <v>70</v>
      </c>
    </row>
    <row r="129" spans="1:7">
      <c r="A129" s="9"/>
      <c r="B129" s="9"/>
      <c r="C129" s="7" t="s">
        <v>12</v>
      </c>
      <c r="D129" s="7">
        <v>1</v>
      </c>
      <c r="E129" s="17">
        <v>22.25</v>
      </c>
      <c r="F129" s="7">
        <v>7</v>
      </c>
      <c r="G129" s="8">
        <f t="shared" si="6"/>
        <v>155.75</v>
      </c>
    </row>
    <row r="130" spans="1:7">
      <c r="A130" s="9"/>
      <c r="B130" s="6" t="s">
        <v>49</v>
      </c>
      <c r="C130" s="7" t="s">
        <v>12</v>
      </c>
      <c r="D130" s="17">
        <v>2</v>
      </c>
      <c r="E130" s="17">
        <v>3.5</v>
      </c>
      <c r="F130" s="7">
        <v>7</v>
      </c>
      <c r="G130" s="8">
        <f t="shared" si="6"/>
        <v>49</v>
      </c>
    </row>
    <row r="131" spans="1:7">
      <c r="A131" s="9"/>
      <c r="B131" s="6" t="s">
        <v>38</v>
      </c>
      <c r="C131" s="7" t="s">
        <v>12</v>
      </c>
      <c r="D131" s="7">
        <v>1</v>
      </c>
      <c r="E131" s="17">
        <v>15.75</v>
      </c>
      <c r="F131" s="7">
        <v>7</v>
      </c>
      <c r="G131" s="8">
        <f t="shared" si="6"/>
        <v>110.25</v>
      </c>
    </row>
    <row r="132" spans="1:7">
      <c r="A132" s="9"/>
      <c r="B132" s="6" t="s">
        <v>39</v>
      </c>
      <c r="C132" s="7" t="s">
        <v>12</v>
      </c>
      <c r="D132" s="7">
        <v>1</v>
      </c>
      <c r="E132" s="17">
        <v>14.5</v>
      </c>
      <c r="F132" s="7">
        <v>7</v>
      </c>
      <c r="G132" s="8">
        <f t="shared" si="6"/>
        <v>101.5</v>
      </c>
    </row>
    <row r="133" spans="1:7">
      <c r="A133" s="9"/>
      <c r="B133" s="6" t="s">
        <v>40</v>
      </c>
      <c r="C133" s="7" t="s">
        <v>12</v>
      </c>
      <c r="D133" s="7">
        <v>1</v>
      </c>
      <c r="E133" s="17">
        <v>5.5</v>
      </c>
      <c r="F133" s="7">
        <v>7</v>
      </c>
      <c r="G133" s="8">
        <f t="shared" si="6"/>
        <v>38.5</v>
      </c>
    </row>
    <row r="134" spans="1:7">
      <c r="A134" s="9"/>
      <c r="B134" s="6" t="s">
        <v>203</v>
      </c>
      <c r="C134" s="7" t="s">
        <v>12</v>
      </c>
      <c r="D134" s="7">
        <v>1</v>
      </c>
      <c r="E134" s="17">
        <v>5.75</v>
      </c>
      <c r="F134" s="7">
        <v>7</v>
      </c>
      <c r="G134" s="8">
        <f t="shared" si="6"/>
        <v>40.25</v>
      </c>
    </row>
    <row r="135" spans="1:7">
      <c r="A135" s="9"/>
      <c r="B135" s="6" t="s">
        <v>42</v>
      </c>
      <c r="C135" s="7" t="s">
        <v>12</v>
      </c>
      <c r="D135" s="7">
        <v>1</v>
      </c>
      <c r="E135" s="17">
        <v>5.5</v>
      </c>
      <c r="F135" s="7">
        <v>7</v>
      </c>
      <c r="G135" s="8">
        <f t="shared" si="6"/>
        <v>38.5</v>
      </c>
    </row>
    <row r="136" spans="1:7">
      <c r="A136" s="9"/>
      <c r="B136" s="9"/>
      <c r="C136" s="7"/>
      <c r="D136" s="7"/>
      <c r="E136" s="7"/>
      <c r="F136" s="7"/>
      <c r="G136" s="8"/>
    </row>
    <row r="137" spans="1:7" ht="15.75">
      <c r="A137" s="9"/>
      <c r="B137" s="155" t="s">
        <v>14</v>
      </c>
      <c r="C137" s="136"/>
      <c r="D137" s="136"/>
      <c r="E137" s="136"/>
      <c r="F137" s="137"/>
      <c r="G137" s="10">
        <f>SUM(G127:G136)</f>
        <v>652.75</v>
      </c>
    </row>
    <row r="138" spans="1:7">
      <c r="A138" s="31">
        <v>1.2</v>
      </c>
      <c r="B138" s="156" t="s">
        <v>44</v>
      </c>
      <c r="C138" s="136"/>
      <c r="D138" s="136"/>
      <c r="E138" s="136"/>
      <c r="F138" s="136"/>
      <c r="G138" s="137"/>
    </row>
    <row r="139" spans="1:7">
      <c r="A139" s="9"/>
      <c r="B139" s="6" t="s">
        <v>35</v>
      </c>
      <c r="C139" s="7" t="s">
        <v>12</v>
      </c>
      <c r="D139" s="7">
        <v>1</v>
      </c>
      <c r="E139" s="17">
        <v>7</v>
      </c>
      <c r="F139" s="17">
        <v>5</v>
      </c>
      <c r="G139" s="8">
        <f t="shared" ref="G139:G147" si="7">F139*E139*D139</f>
        <v>35</v>
      </c>
    </row>
    <row r="140" spans="1:7">
      <c r="A140" s="9"/>
      <c r="B140" s="6" t="s">
        <v>36</v>
      </c>
      <c r="C140" s="7" t="s">
        <v>12</v>
      </c>
      <c r="D140" s="7">
        <v>1</v>
      </c>
      <c r="E140" s="17">
        <v>10</v>
      </c>
      <c r="F140" s="17">
        <v>5</v>
      </c>
      <c r="G140" s="8">
        <f t="shared" si="7"/>
        <v>50</v>
      </c>
    </row>
    <row r="141" spans="1:7">
      <c r="A141" s="9"/>
      <c r="B141" s="9"/>
      <c r="C141" s="7" t="s">
        <v>12</v>
      </c>
      <c r="D141" s="7">
        <v>1</v>
      </c>
      <c r="E141" s="17">
        <v>22.25</v>
      </c>
      <c r="F141" s="17">
        <v>5</v>
      </c>
      <c r="G141" s="8">
        <f t="shared" si="7"/>
        <v>111.25</v>
      </c>
    </row>
    <row r="142" spans="1:7">
      <c r="A142" s="9"/>
      <c r="B142" s="6" t="s">
        <v>49</v>
      </c>
      <c r="C142" s="7" t="s">
        <v>12</v>
      </c>
      <c r="D142" s="17">
        <v>2</v>
      </c>
      <c r="E142" s="17">
        <v>3.5</v>
      </c>
      <c r="F142" s="17">
        <v>5</v>
      </c>
      <c r="G142" s="8">
        <f t="shared" si="7"/>
        <v>35</v>
      </c>
    </row>
    <row r="143" spans="1:7">
      <c r="A143" s="9"/>
      <c r="B143" s="6" t="s">
        <v>38</v>
      </c>
      <c r="C143" s="7" t="s">
        <v>12</v>
      </c>
      <c r="D143" s="7">
        <v>1</v>
      </c>
      <c r="E143" s="17">
        <v>15.75</v>
      </c>
      <c r="F143" s="17">
        <v>5</v>
      </c>
      <c r="G143" s="8">
        <f t="shared" si="7"/>
        <v>78.75</v>
      </c>
    </row>
    <row r="144" spans="1:7">
      <c r="A144" s="9"/>
      <c r="B144" s="6" t="s">
        <v>39</v>
      </c>
      <c r="C144" s="7" t="s">
        <v>12</v>
      </c>
      <c r="D144" s="7">
        <v>1</v>
      </c>
      <c r="E144" s="17">
        <v>14.5</v>
      </c>
      <c r="F144" s="17">
        <v>5</v>
      </c>
      <c r="G144" s="8">
        <f t="shared" si="7"/>
        <v>72.5</v>
      </c>
    </row>
    <row r="145" spans="1:7">
      <c r="A145" s="9"/>
      <c r="B145" s="6" t="s">
        <v>40</v>
      </c>
      <c r="C145" s="7" t="s">
        <v>12</v>
      </c>
      <c r="D145" s="7">
        <v>1</v>
      </c>
      <c r="E145" s="17">
        <v>5.5</v>
      </c>
      <c r="F145" s="17">
        <v>5</v>
      </c>
      <c r="G145" s="8">
        <f t="shared" si="7"/>
        <v>27.5</v>
      </c>
    </row>
    <row r="146" spans="1:7">
      <c r="A146" s="9"/>
      <c r="B146" s="6" t="s">
        <v>203</v>
      </c>
      <c r="C146" s="7" t="s">
        <v>12</v>
      </c>
      <c r="D146" s="7">
        <v>1</v>
      </c>
      <c r="E146" s="17">
        <v>5.75</v>
      </c>
      <c r="F146" s="17">
        <v>5</v>
      </c>
      <c r="G146" s="8">
        <f t="shared" si="7"/>
        <v>28.75</v>
      </c>
    </row>
    <row r="147" spans="1:7">
      <c r="A147" s="9"/>
      <c r="B147" s="6" t="s">
        <v>42</v>
      </c>
      <c r="C147" s="7" t="s">
        <v>12</v>
      </c>
      <c r="D147" s="7">
        <v>1</v>
      </c>
      <c r="E147" s="17">
        <v>5.5</v>
      </c>
      <c r="F147" s="17">
        <v>5</v>
      </c>
      <c r="G147" s="8">
        <f t="shared" si="7"/>
        <v>27.5</v>
      </c>
    </row>
    <row r="148" spans="1:7">
      <c r="A148" s="9"/>
      <c r="B148" s="9"/>
      <c r="C148" s="7"/>
      <c r="D148" s="7"/>
      <c r="E148" s="7"/>
      <c r="F148" s="7"/>
      <c r="G148" s="8"/>
    </row>
    <row r="149" spans="1:7" ht="15.75">
      <c r="A149" s="9"/>
      <c r="B149" s="155" t="s">
        <v>14</v>
      </c>
      <c r="C149" s="136"/>
      <c r="D149" s="136"/>
      <c r="E149" s="136"/>
      <c r="F149" s="137"/>
      <c r="G149" s="10">
        <f>SUM(G139:G148)</f>
        <v>466.25</v>
      </c>
    </row>
    <row r="150" spans="1:7">
      <c r="A150" s="31">
        <v>1.3</v>
      </c>
      <c r="B150" s="156" t="s">
        <v>47</v>
      </c>
      <c r="C150" s="136"/>
      <c r="D150" s="136"/>
      <c r="E150" s="136"/>
      <c r="F150" s="136"/>
      <c r="G150" s="137"/>
    </row>
    <row r="151" spans="1:7">
      <c r="A151" s="9"/>
      <c r="B151" s="6" t="s">
        <v>36</v>
      </c>
      <c r="C151" s="7" t="s">
        <v>6</v>
      </c>
      <c r="D151" s="7">
        <v>1</v>
      </c>
      <c r="E151" s="7">
        <v>1</v>
      </c>
      <c r="F151" s="7"/>
      <c r="G151" s="8">
        <f t="shared" ref="G151:G157" si="8">E151*D151</f>
        <v>1</v>
      </c>
    </row>
    <row r="152" spans="1:7">
      <c r="A152" s="9"/>
      <c r="B152" s="6" t="s">
        <v>38</v>
      </c>
      <c r="C152" s="7" t="s">
        <v>6</v>
      </c>
      <c r="D152" s="7">
        <v>1</v>
      </c>
      <c r="E152" s="7">
        <v>1</v>
      </c>
      <c r="F152" s="7"/>
      <c r="G152" s="8">
        <f t="shared" si="8"/>
        <v>1</v>
      </c>
    </row>
    <row r="153" spans="1:7">
      <c r="A153" s="4"/>
      <c r="B153" s="6" t="s">
        <v>39</v>
      </c>
      <c r="C153" s="7" t="s">
        <v>6</v>
      </c>
      <c r="D153" s="7">
        <v>1</v>
      </c>
      <c r="E153" s="7">
        <v>1</v>
      </c>
      <c r="F153" s="7"/>
      <c r="G153" s="8">
        <f t="shared" si="8"/>
        <v>1</v>
      </c>
    </row>
    <row r="154" spans="1:7">
      <c r="A154" s="4"/>
      <c r="B154" s="6" t="s">
        <v>40</v>
      </c>
      <c r="C154" s="7" t="s">
        <v>6</v>
      </c>
      <c r="D154" s="7">
        <v>1</v>
      </c>
      <c r="E154" s="7">
        <v>1</v>
      </c>
      <c r="F154" s="7"/>
      <c r="G154" s="8">
        <f t="shared" si="8"/>
        <v>1</v>
      </c>
    </row>
    <row r="155" spans="1:7">
      <c r="A155" s="4"/>
      <c r="B155" s="6" t="s">
        <v>203</v>
      </c>
      <c r="C155" s="7" t="s">
        <v>6</v>
      </c>
      <c r="D155" s="7">
        <v>1</v>
      </c>
      <c r="E155" s="7">
        <v>1</v>
      </c>
      <c r="F155" s="7"/>
      <c r="G155" s="8">
        <f t="shared" si="8"/>
        <v>1</v>
      </c>
    </row>
    <row r="156" spans="1:7">
      <c r="A156" s="4"/>
      <c r="B156" s="6" t="s">
        <v>42</v>
      </c>
      <c r="C156" s="7" t="s">
        <v>6</v>
      </c>
      <c r="D156" s="7">
        <v>1</v>
      </c>
      <c r="E156" s="7">
        <v>1</v>
      </c>
      <c r="F156" s="7"/>
      <c r="G156" s="8">
        <f t="shared" si="8"/>
        <v>1</v>
      </c>
    </row>
    <row r="157" spans="1:7">
      <c r="A157" s="4"/>
      <c r="B157" s="6" t="s">
        <v>49</v>
      </c>
      <c r="C157" s="7" t="s">
        <v>6</v>
      </c>
      <c r="D157" s="17">
        <v>2</v>
      </c>
      <c r="E157" s="7">
        <v>1</v>
      </c>
      <c r="F157" s="7"/>
      <c r="G157" s="8">
        <f t="shared" si="8"/>
        <v>2</v>
      </c>
    </row>
    <row r="158" spans="1:7">
      <c r="A158" s="4"/>
      <c r="B158" s="4"/>
      <c r="C158" s="4"/>
      <c r="D158" s="4"/>
      <c r="E158" s="4"/>
      <c r="F158" s="4"/>
      <c r="G158" s="4"/>
    </row>
    <row r="159" spans="1:7" ht="15.75">
      <c r="A159" s="9"/>
      <c r="B159" s="155" t="s">
        <v>14</v>
      </c>
      <c r="C159" s="136"/>
      <c r="D159" s="136"/>
      <c r="E159" s="136"/>
      <c r="F159" s="137"/>
      <c r="G159" s="10">
        <f>SUM(G151:G158)</f>
        <v>8</v>
      </c>
    </row>
    <row r="160" spans="1:7">
      <c r="A160" s="31">
        <v>1.4</v>
      </c>
      <c r="B160" s="157" t="s">
        <v>227</v>
      </c>
      <c r="C160" s="136"/>
      <c r="D160" s="136"/>
      <c r="E160" s="136"/>
      <c r="F160" s="136"/>
      <c r="G160" s="137"/>
    </row>
    <row r="161" spans="1:7">
      <c r="A161" s="9"/>
      <c r="B161" s="9" t="s">
        <v>51</v>
      </c>
      <c r="C161" s="7" t="s">
        <v>6</v>
      </c>
      <c r="D161" s="7">
        <v>1</v>
      </c>
      <c r="E161" s="7">
        <v>1</v>
      </c>
      <c r="F161" s="7"/>
      <c r="G161" s="8">
        <f>E161*D161</f>
        <v>1</v>
      </c>
    </row>
    <row r="162" spans="1:7">
      <c r="A162" s="4"/>
      <c r="B162" s="4"/>
      <c r="C162" s="4"/>
      <c r="D162" s="4"/>
      <c r="E162" s="4"/>
      <c r="F162" s="4"/>
      <c r="G162" s="4"/>
    </row>
    <row r="163" spans="1:7" ht="15.75">
      <c r="A163" s="9"/>
      <c r="B163" s="155" t="s">
        <v>14</v>
      </c>
      <c r="C163" s="136"/>
      <c r="D163" s="136"/>
      <c r="E163" s="136"/>
      <c r="F163" s="137"/>
      <c r="G163" s="10">
        <f>SUM(G161:G162)</f>
        <v>1</v>
      </c>
    </row>
    <row r="164" spans="1:7">
      <c r="A164" s="31"/>
      <c r="B164" s="157" t="s">
        <v>55</v>
      </c>
      <c r="C164" s="136"/>
      <c r="D164" s="136"/>
      <c r="E164" s="136"/>
      <c r="F164" s="136"/>
      <c r="G164" s="137"/>
    </row>
    <row r="165" spans="1:7">
      <c r="A165" s="9"/>
      <c r="B165" s="6" t="s">
        <v>56</v>
      </c>
      <c r="C165" s="7" t="s">
        <v>6</v>
      </c>
      <c r="D165" s="7">
        <v>1</v>
      </c>
      <c r="E165" s="7">
        <v>1</v>
      </c>
      <c r="F165" s="7"/>
      <c r="G165" s="8">
        <f>E165*D165</f>
        <v>1</v>
      </c>
    </row>
    <row r="166" spans="1:7">
      <c r="A166" s="4"/>
      <c r="B166" s="4"/>
      <c r="C166" s="4"/>
      <c r="D166" s="4"/>
      <c r="E166" s="4"/>
      <c r="F166" s="4"/>
      <c r="G166" s="4"/>
    </row>
    <row r="167" spans="1:7" ht="15.75">
      <c r="A167" s="9"/>
      <c r="B167" s="155" t="s">
        <v>14</v>
      </c>
      <c r="C167" s="136"/>
      <c r="D167" s="136"/>
      <c r="E167" s="136"/>
      <c r="F167" s="137"/>
      <c r="G167" s="10">
        <f>SUM(G165:G166)</f>
        <v>1</v>
      </c>
    </row>
    <row r="168" spans="1:7">
      <c r="A168" s="4"/>
      <c r="B168" s="4"/>
      <c r="C168" s="4"/>
      <c r="D168" s="4"/>
      <c r="E168" s="4"/>
      <c r="F168" s="4"/>
      <c r="G168" s="4"/>
    </row>
    <row r="169" spans="1:7">
      <c r="A169" s="5"/>
      <c r="B169" s="159" t="s">
        <v>25</v>
      </c>
      <c r="C169" s="136"/>
      <c r="D169" s="136"/>
      <c r="E169" s="136"/>
      <c r="F169" s="136"/>
      <c r="G169" s="137"/>
    </row>
    <row r="170" spans="1:7">
      <c r="A170" s="31">
        <v>1</v>
      </c>
      <c r="B170" s="156" t="s">
        <v>59</v>
      </c>
      <c r="C170" s="136"/>
      <c r="D170" s="136"/>
      <c r="E170" s="136"/>
      <c r="F170" s="136"/>
      <c r="G170" s="137"/>
    </row>
    <row r="171" spans="1:7">
      <c r="A171" s="14">
        <v>1.1000000000000001</v>
      </c>
      <c r="B171" s="156" t="s">
        <v>61</v>
      </c>
      <c r="C171" s="136"/>
      <c r="D171" s="136"/>
      <c r="E171" s="136"/>
      <c r="F171" s="136"/>
      <c r="G171" s="137"/>
    </row>
    <row r="172" spans="1:7">
      <c r="A172" s="9"/>
      <c r="B172" s="6" t="s">
        <v>56</v>
      </c>
      <c r="C172" s="7" t="s">
        <v>12</v>
      </c>
      <c r="D172" s="7">
        <v>1</v>
      </c>
      <c r="E172" s="17">
        <v>22</v>
      </c>
      <c r="F172" s="17">
        <v>12.5</v>
      </c>
      <c r="G172" s="8">
        <f t="shared" ref="G172:G187" si="9">F172*E172*D172</f>
        <v>275</v>
      </c>
    </row>
    <row r="173" spans="1:7">
      <c r="A173" s="9"/>
      <c r="B173" s="6" t="s">
        <v>36</v>
      </c>
      <c r="C173" s="7" t="s">
        <v>12</v>
      </c>
      <c r="D173" s="7">
        <v>1</v>
      </c>
      <c r="E173" s="17">
        <v>22</v>
      </c>
      <c r="F173" s="17">
        <v>12.5</v>
      </c>
      <c r="G173" s="8">
        <f t="shared" si="9"/>
        <v>275</v>
      </c>
    </row>
    <row r="174" spans="1:7">
      <c r="A174" s="9"/>
      <c r="B174" s="6" t="s">
        <v>49</v>
      </c>
      <c r="C174" s="7" t="s">
        <v>12</v>
      </c>
      <c r="D174" s="7">
        <v>1</v>
      </c>
      <c r="E174" s="17">
        <v>18.75</v>
      </c>
      <c r="F174" s="17">
        <v>53.75</v>
      </c>
      <c r="G174" s="8">
        <f t="shared" si="9"/>
        <v>1007.8125</v>
      </c>
    </row>
    <row r="175" spans="1:7">
      <c r="A175" s="9"/>
      <c r="B175" s="9"/>
      <c r="C175" s="7" t="s">
        <v>12</v>
      </c>
      <c r="D175" s="7">
        <v>1</v>
      </c>
      <c r="E175" s="17">
        <v>6.5</v>
      </c>
      <c r="F175" s="17">
        <v>17.25</v>
      </c>
      <c r="G175" s="8">
        <f t="shared" si="9"/>
        <v>112.125</v>
      </c>
    </row>
    <row r="176" spans="1:7">
      <c r="A176" s="9"/>
      <c r="B176" s="6" t="s">
        <v>67</v>
      </c>
      <c r="C176" s="7" t="s">
        <v>12</v>
      </c>
      <c r="D176" s="7">
        <v>1</v>
      </c>
      <c r="E176" s="17">
        <v>32.5</v>
      </c>
      <c r="F176" s="17">
        <v>26</v>
      </c>
      <c r="G176" s="8">
        <f t="shared" si="9"/>
        <v>845</v>
      </c>
    </row>
    <row r="177" spans="1:7">
      <c r="A177" s="9"/>
      <c r="B177" s="9"/>
      <c r="C177" s="7" t="s">
        <v>12</v>
      </c>
      <c r="D177" s="7">
        <v>1</v>
      </c>
      <c r="E177" s="17">
        <v>26</v>
      </c>
      <c r="F177" s="17">
        <v>25.75</v>
      </c>
      <c r="G177" s="8">
        <f t="shared" si="9"/>
        <v>669.5</v>
      </c>
    </row>
    <row r="178" spans="1:7">
      <c r="A178" s="9"/>
      <c r="B178" s="6" t="s">
        <v>211</v>
      </c>
      <c r="C178" s="7" t="s">
        <v>12</v>
      </c>
      <c r="D178" s="17">
        <v>2</v>
      </c>
      <c r="E178" s="17">
        <v>11.25</v>
      </c>
      <c r="F178" s="17">
        <v>4</v>
      </c>
      <c r="G178" s="8">
        <f t="shared" si="9"/>
        <v>90</v>
      </c>
    </row>
    <row r="179" spans="1:7">
      <c r="A179" s="9"/>
      <c r="B179" s="4"/>
      <c r="C179" s="7" t="s">
        <v>12</v>
      </c>
      <c r="D179" s="17">
        <v>2</v>
      </c>
      <c r="E179" s="17">
        <v>22.25</v>
      </c>
      <c r="F179" s="17">
        <v>4</v>
      </c>
      <c r="G179" s="8">
        <f t="shared" si="9"/>
        <v>178</v>
      </c>
    </row>
    <row r="180" spans="1:7">
      <c r="A180" s="9"/>
      <c r="B180" s="6" t="s">
        <v>212</v>
      </c>
      <c r="C180" s="7" t="s">
        <v>12</v>
      </c>
      <c r="D180" s="17">
        <v>2</v>
      </c>
      <c r="E180" s="17">
        <v>11.25</v>
      </c>
      <c r="F180" s="17">
        <v>4</v>
      </c>
      <c r="G180" s="8">
        <f t="shared" si="9"/>
        <v>90</v>
      </c>
    </row>
    <row r="181" spans="1:7">
      <c r="A181" s="9"/>
      <c r="B181" s="4"/>
      <c r="C181" s="7" t="s">
        <v>12</v>
      </c>
      <c r="D181" s="17">
        <v>2</v>
      </c>
      <c r="E181" s="17">
        <v>18.25</v>
      </c>
      <c r="F181" s="17">
        <v>4</v>
      </c>
      <c r="G181" s="8">
        <f t="shared" si="9"/>
        <v>146</v>
      </c>
    </row>
    <row r="182" spans="1:7">
      <c r="A182" s="9"/>
      <c r="B182" s="6" t="s">
        <v>213</v>
      </c>
      <c r="C182" s="7" t="s">
        <v>12</v>
      </c>
      <c r="D182" s="17">
        <v>3</v>
      </c>
      <c r="E182" s="17">
        <v>11.25</v>
      </c>
      <c r="F182" s="17">
        <v>4</v>
      </c>
      <c r="G182" s="8">
        <f t="shared" si="9"/>
        <v>135</v>
      </c>
    </row>
    <row r="183" spans="1:7">
      <c r="A183" s="9"/>
      <c r="B183" s="4"/>
      <c r="C183" s="7" t="s">
        <v>12</v>
      </c>
      <c r="D183" s="17">
        <v>2</v>
      </c>
      <c r="E183" s="17">
        <v>26.25</v>
      </c>
      <c r="F183" s="17">
        <v>4</v>
      </c>
      <c r="G183" s="8">
        <f t="shared" si="9"/>
        <v>210</v>
      </c>
    </row>
    <row r="184" spans="1:7">
      <c r="A184" s="9"/>
      <c r="B184" s="6" t="s">
        <v>214</v>
      </c>
      <c r="C184" s="7" t="s">
        <v>12</v>
      </c>
      <c r="D184" s="17">
        <v>1</v>
      </c>
      <c r="E184" s="17">
        <v>9.5</v>
      </c>
      <c r="F184" s="17">
        <v>4</v>
      </c>
      <c r="G184" s="8">
        <f t="shared" si="9"/>
        <v>38</v>
      </c>
    </row>
    <row r="185" spans="1:7">
      <c r="A185" s="9"/>
      <c r="B185" s="6" t="s">
        <v>215</v>
      </c>
      <c r="C185" s="7" t="s">
        <v>12</v>
      </c>
      <c r="D185" s="17">
        <v>1</v>
      </c>
      <c r="E185" s="17">
        <v>10.75</v>
      </c>
      <c r="F185" s="17">
        <v>4</v>
      </c>
      <c r="G185" s="8">
        <f t="shared" si="9"/>
        <v>43</v>
      </c>
    </row>
    <row r="186" spans="1:7">
      <c r="A186" s="9"/>
      <c r="B186" s="6" t="s">
        <v>216</v>
      </c>
      <c r="C186" s="7" t="s">
        <v>12</v>
      </c>
      <c r="D186" s="17">
        <v>1</v>
      </c>
      <c r="E186" s="17">
        <v>27.5</v>
      </c>
      <c r="F186" s="17">
        <v>4</v>
      </c>
      <c r="G186" s="8">
        <f t="shared" si="9"/>
        <v>110</v>
      </c>
    </row>
    <row r="187" spans="1:7">
      <c r="A187" s="9"/>
      <c r="B187" s="4"/>
      <c r="C187" s="7" t="s">
        <v>12</v>
      </c>
      <c r="D187" s="17">
        <v>1</v>
      </c>
      <c r="E187" s="17">
        <v>13</v>
      </c>
      <c r="F187" s="17">
        <v>4</v>
      </c>
      <c r="G187" s="8">
        <f t="shared" si="9"/>
        <v>52</v>
      </c>
    </row>
    <row r="188" spans="1:7">
      <c r="A188" s="9"/>
      <c r="B188" s="9"/>
      <c r="C188" s="7"/>
      <c r="D188" s="7"/>
      <c r="E188" s="7"/>
      <c r="F188" s="7"/>
      <c r="G188" s="8"/>
    </row>
    <row r="189" spans="1:7" ht="15.75">
      <c r="A189" s="9"/>
      <c r="B189" s="155" t="s">
        <v>14</v>
      </c>
      <c r="C189" s="136"/>
      <c r="D189" s="136"/>
      <c r="E189" s="136"/>
      <c r="F189" s="137"/>
      <c r="G189" s="10">
        <f>SUM(G172:G188)</f>
        <v>4276.4375</v>
      </c>
    </row>
    <row r="190" spans="1:7" ht="15.75">
      <c r="A190" s="9"/>
      <c r="B190" s="155" t="s">
        <v>14</v>
      </c>
      <c r="C190" s="136"/>
      <c r="D190" s="136"/>
      <c r="E190" s="136"/>
      <c r="F190" s="137"/>
      <c r="G190" s="10">
        <f>G189*1.15</f>
        <v>4917.9031249999998</v>
      </c>
    </row>
    <row r="191" spans="1:7" ht="15.75">
      <c r="A191" s="9"/>
      <c r="B191" s="57"/>
      <c r="C191" s="57"/>
      <c r="D191" s="57"/>
      <c r="E191" s="57"/>
      <c r="F191" s="57"/>
      <c r="G191" s="10"/>
    </row>
    <row r="192" spans="1:7">
      <c r="A192" s="31">
        <v>2</v>
      </c>
      <c r="B192" s="156" t="s">
        <v>71</v>
      </c>
      <c r="C192" s="136"/>
      <c r="D192" s="136"/>
      <c r="E192" s="136"/>
      <c r="F192" s="136"/>
      <c r="G192" s="137"/>
    </row>
    <row r="193" spans="1:7">
      <c r="A193" s="31">
        <v>2.1</v>
      </c>
      <c r="B193" s="156" t="s">
        <v>78</v>
      </c>
      <c r="C193" s="136"/>
      <c r="D193" s="136"/>
      <c r="E193" s="136"/>
      <c r="F193" s="136"/>
      <c r="G193" s="137"/>
    </row>
    <row r="194" spans="1:7">
      <c r="A194" s="9"/>
      <c r="B194" s="6" t="s">
        <v>35</v>
      </c>
      <c r="C194" s="7" t="s">
        <v>12</v>
      </c>
      <c r="D194" s="7">
        <v>1</v>
      </c>
      <c r="E194" s="17">
        <v>13</v>
      </c>
      <c r="F194" s="17">
        <v>3</v>
      </c>
      <c r="G194" s="8">
        <f t="shared" ref="G194:G209" si="10">F194*E194*D194</f>
        <v>39</v>
      </c>
    </row>
    <row r="195" spans="1:7">
      <c r="A195" s="9"/>
      <c r="B195" s="9"/>
      <c r="C195" s="7" t="s">
        <v>12</v>
      </c>
      <c r="D195" s="7">
        <v>1</v>
      </c>
      <c r="E195" s="17">
        <v>9</v>
      </c>
      <c r="F195" s="17">
        <v>3</v>
      </c>
      <c r="G195" s="8">
        <f t="shared" si="10"/>
        <v>27</v>
      </c>
    </row>
    <row r="196" spans="1:7">
      <c r="A196" s="9"/>
      <c r="B196" s="6" t="s">
        <v>36</v>
      </c>
      <c r="C196" s="7" t="s">
        <v>12</v>
      </c>
      <c r="D196" s="7">
        <v>1</v>
      </c>
      <c r="E196" s="17">
        <v>12.75</v>
      </c>
      <c r="F196" s="17">
        <v>3</v>
      </c>
      <c r="G196" s="8">
        <f t="shared" si="10"/>
        <v>38.25</v>
      </c>
    </row>
    <row r="197" spans="1:7">
      <c r="A197" s="9"/>
      <c r="B197" s="9"/>
      <c r="C197" s="7" t="s">
        <v>12</v>
      </c>
      <c r="D197" s="7">
        <v>1</v>
      </c>
      <c r="E197" s="17">
        <v>22.25</v>
      </c>
      <c r="F197" s="17">
        <v>3</v>
      </c>
      <c r="G197" s="8">
        <f t="shared" si="10"/>
        <v>66.75</v>
      </c>
    </row>
    <row r="198" spans="1:7">
      <c r="A198" s="9"/>
      <c r="B198" s="6" t="s">
        <v>228</v>
      </c>
      <c r="C198" s="7" t="s">
        <v>12</v>
      </c>
      <c r="D198" s="17">
        <v>2</v>
      </c>
      <c r="E198" s="17">
        <v>6.5</v>
      </c>
      <c r="F198" s="17">
        <v>3</v>
      </c>
      <c r="G198" s="8">
        <f t="shared" si="10"/>
        <v>39</v>
      </c>
    </row>
    <row r="199" spans="1:7">
      <c r="A199" s="9"/>
      <c r="B199" s="6" t="s">
        <v>38</v>
      </c>
      <c r="C199" s="7" t="s">
        <v>12</v>
      </c>
      <c r="D199" s="7">
        <v>1</v>
      </c>
      <c r="E199" s="17">
        <v>19.25</v>
      </c>
      <c r="F199" s="17">
        <v>3</v>
      </c>
      <c r="G199" s="8">
        <f t="shared" si="10"/>
        <v>57.75</v>
      </c>
    </row>
    <row r="200" spans="1:7">
      <c r="A200" s="9"/>
      <c r="B200" s="6" t="s">
        <v>39</v>
      </c>
      <c r="C200" s="7" t="s">
        <v>12</v>
      </c>
      <c r="D200" s="7">
        <v>1</v>
      </c>
      <c r="E200" s="17">
        <v>18</v>
      </c>
      <c r="F200" s="17">
        <v>3</v>
      </c>
      <c r="G200" s="8">
        <f t="shared" si="10"/>
        <v>54</v>
      </c>
    </row>
    <row r="201" spans="1:7">
      <c r="A201" s="9"/>
      <c r="B201" s="6" t="s">
        <v>40</v>
      </c>
      <c r="C201" s="7" t="s">
        <v>12</v>
      </c>
      <c r="D201" s="7">
        <v>1</v>
      </c>
      <c r="E201" s="17">
        <v>10</v>
      </c>
      <c r="F201" s="17">
        <v>3</v>
      </c>
      <c r="G201" s="8">
        <f t="shared" si="10"/>
        <v>30</v>
      </c>
    </row>
    <row r="202" spans="1:7">
      <c r="A202" s="9"/>
      <c r="B202" s="6" t="s">
        <v>203</v>
      </c>
      <c r="C202" s="7" t="s">
        <v>12</v>
      </c>
      <c r="D202" s="7">
        <v>1</v>
      </c>
      <c r="E202" s="17">
        <v>8.75</v>
      </c>
      <c r="F202" s="17">
        <v>3</v>
      </c>
      <c r="G202" s="8">
        <f t="shared" si="10"/>
        <v>26.25</v>
      </c>
    </row>
    <row r="203" spans="1:7">
      <c r="A203" s="9"/>
      <c r="B203" s="6"/>
      <c r="C203" s="7" t="s">
        <v>12</v>
      </c>
      <c r="D203" s="7">
        <v>1</v>
      </c>
      <c r="E203" s="17">
        <v>1</v>
      </c>
      <c r="F203" s="17">
        <v>10</v>
      </c>
      <c r="G203" s="8">
        <f t="shared" si="10"/>
        <v>10</v>
      </c>
    </row>
    <row r="204" spans="1:7">
      <c r="A204" s="9"/>
      <c r="B204" s="6" t="s">
        <v>42</v>
      </c>
      <c r="C204" s="7" t="s">
        <v>12</v>
      </c>
      <c r="D204" s="7">
        <v>1</v>
      </c>
      <c r="E204" s="17">
        <v>8.5</v>
      </c>
      <c r="F204" s="17">
        <v>3</v>
      </c>
      <c r="G204" s="8">
        <f t="shared" si="10"/>
        <v>25.5</v>
      </c>
    </row>
    <row r="205" spans="1:7">
      <c r="A205" s="9"/>
      <c r="B205" s="6" t="s">
        <v>79</v>
      </c>
      <c r="C205" s="7" t="s">
        <v>12</v>
      </c>
      <c r="D205" s="7">
        <v>1</v>
      </c>
      <c r="E205" s="17">
        <v>10.75</v>
      </c>
      <c r="F205" s="17">
        <v>10</v>
      </c>
      <c r="G205" s="8">
        <f t="shared" si="10"/>
        <v>107.5</v>
      </c>
    </row>
    <row r="206" spans="1:7">
      <c r="A206" s="9"/>
      <c r="B206" s="6" t="s">
        <v>23</v>
      </c>
      <c r="C206" s="7" t="s">
        <v>12</v>
      </c>
      <c r="D206" s="7">
        <v>1</v>
      </c>
      <c r="E206" s="17">
        <v>18.25</v>
      </c>
      <c r="F206" s="17">
        <v>10</v>
      </c>
      <c r="G206" s="8">
        <f t="shared" si="10"/>
        <v>182.5</v>
      </c>
    </row>
    <row r="207" spans="1:7">
      <c r="A207" s="9"/>
      <c r="B207" s="6" t="s">
        <v>81</v>
      </c>
      <c r="C207" s="7" t="s">
        <v>12</v>
      </c>
      <c r="D207" s="7">
        <v>1</v>
      </c>
      <c r="E207" s="17">
        <v>6.5</v>
      </c>
      <c r="F207" s="17">
        <v>10</v>
      </c>
      <c r="G207" s="8">
        <f t="shared" si="10"/>
        <v>65</v>
      </c>
    </row>
    <row r="208" spans="1:7">
      <c r="A208" s="9"/>
      <c r="B208" s="9"/>
      <c r="C208" s="7" t="s">
        <v>12</v>
      </c>
      <c r="D208" s="7">
        <v>1</v>
      </c>
      <c r="E208" s="17">
        <v>17.25</v>
      </c>
      <c r="F208" s="17">
        <v>10</v>
      </c>
      <c r="G208" s="8">
        <f t="shared" si="10"/>
        <v>172.5</v>
      </c>
    </row>
    <row r="209" spans="1:7">
      <c r="A209" s="9"/>
      <c r="B209" s="9"/>
      <c r="C209" s="7" t="s">
        <v>12</v>
      </c>
      <c r="D209" s="7">
        <v>1</v>
      </c>
      <c r="E209" s="17">
        <v>19</v>
      </c>
      <c r="F209" s="17">
        <v>10</v>
      </c>
      <c r="G209" s="8">
        <f t="shared" si="10"/>
        <v>190</v>
      </c>
    </row>
    <row r="210" spans="1:7">
      <c r="A210" s="9"/>
      <c r="B210" s="9"/>
      <c r="C210" s="7"/>
      <c r="D210" s="7"/>
      <c r="E210" s="7"/>
      <c r="F210" s="7"/>
      <c r="G210" s="8"/>
    </row>
    <row r="211" spans="1:7" ht="15.75">
      <c r="A211" s="9"/>
      <c r="B211" s="155" t="s">
        <v>14</v>
      </c>
      <c r="C211" s="136"/>
      <c r="D211" s="136"/>
      <c r="E211" s="136"/>
      <c r="F211" s="137"/>
      <c r="G211" s="10">
        <f>SUM(G194:G210)</f>
        <v>1131</v>
      </c>
    </row>
    <row r="212" spans="1:7" ht="15.75">
      <c r="A212" s="9"/>
      <c r="B212" s="155" t="s">
        <v>14</v>
      </c>
      <c r="C212" s="136"/>
      <c r="D212" s="136"/>
      <c r="E212" s="136"/>
      <c r="F212" s="137"/>
      <c r="G212" s="10">
        <f>G211*1.15</f>
        <v>1300.6499999999999</v>
      </c>
    </row>
    <row r="213" spans="1:7">
      <c r="A213" s="14">
        <v>2.2000000000000002</v>
      </c>
      <c r="B213" s="157" t="s">
        <v>229</v>
      </c>
      <c r="C213" s="136"/>
      <c r="D213" s="136"/>
      <c r="E213" s="136"/>
      <c r="F213" s="136"/>
      <c r="G213" s="137"/>
    </row>
    <row r="214" spans="1:7">
      <c r="A214" s="9"/>
      <c r="B214" s="6" t="s">
        <v>56</v>
      </c>
      <c r="C214" s="7" t="s">
        <v>6</v>
      </c>
      <c r="D214" s="17">
        <v>1</v>
      </c>
      <c r="E214" s="17">
        <v>10</v>
      </c>
      <c r="F214" s="17">
        <v>5</v>
      </c>
      <c r="G214" s="8">
        <f t="shared" ref="G214:G218" si="11">F214*E214*D214</f>
        <v>50</v>
      </c>
    </row>
    <row r="215" spans="1:7">
      <c r="A215" s="9"/>
      <c r="B215" s="6" t="s">
        <v>36</v>
      </c>
      <c r="C215" s="7" t="s">
        <v>6</v>
      </c>
      <c r="D215" s="7">
        <v>1</v>
      </c>
      <c r="E215" s="17">
        <v>8</v>
      </c>
      <c r="F215" s="17">
        <v>5</v>
      </c>
      <c r="G215" s="8">
        <f t="shared" si="11"/>
        <v>40</v>
      </c>
    </row>
    <row r="216" spans="1:7">
      <c r="A216" s="4"/>
      <c r="B216" s="6" t="s">
        <v>39</v>
      </c>
      <c r="C216" s="7" t="s">
        <v>6</v>
      </c>
      <c r="D216" s="7">
        <v>1</v>
      </c>
      <c r="E216" s="17">
        <v>6</v>
      </c>
      <c r="F216" s="17">
        <v>5</v>
      </c>
      <c r="G216" s="8">
        <f t="shared" si="11"/>
        <v>30</v>
      </c>
    </row>
    <row r="217" spans="1:7">
      <c r="A217" s="4"/>
      <c r="B217" s="6" t="s">
        <v>40</v>
      </c>
      <c r="C217" s="7" t="s">
        <v>6</v>
      </c>
      <c r="D217" s="7">
        <v>1</v>
      </c>
      <c r="E217" s="17">
        <v>6</v>
      </c>
      <c r="F217" s="17">
        <v>5</v>
      </c>
      <c r="G217" s="8">
        <f t="shared" si="11"/>
        <v>30</v>
      </c>
    </row>
    <row r="218" spans="1:7">
      <c r="A218" s="4"/>
      <c r="B218" s="6" t="s">
        <v>67</v>
      </c>
      <c r="C218" s="7" t="s">
        <v>6</v>
      </c>
      <c r="D218" s="7">
        <v>1</v>
      </c>
      <c r="E218" s="17">
        <v>15</v>
      </c>
      <c r="F218" s="17">
        <v>5</v>
      </c>
      <c r="G218" s="8">
        <f t="shared" si="11"/>
        <v>75</v>
      </c>
    </row>
    <row r="219" spans="1:7">
      <c r="A219" s="4"/>
      <c r="B219" s="4"/>
      <c r="C219" s="4"/>
      <c r="D219" s="4"/>
      <c r="E219" s="4"/>
      <c r="F219" s="4"/>
      <c r="G219" s="4"/>
    </row>
    <row r="220" spans="1:7" ht="15.75">
      <c r="A220" s="9"/>
      <c r="B220" s="155" t="s">
        <v>14</v>
      </c>
      <c r="C220" s="136"/>
      <c r="D220" s="136"/>
      <c r="E220" s="136"/>
      <c r="F220" s="137"/>
      <c r="G220" s="10">
        <f>SUM(G214:G219)</f>
        <v>225</v>
      </c>
    </row>
    <row r="221" spans="1:7">
      <c r="A221" s="31"/>
      <c r="B221" s="131"/>
      <c r="C221" s="131"/>
      <c r="D221" s="131"/>
      <c r="E221" s="131"/>
      <c r="F221" s="131"/>
      <c r="G221" s="131"/>
    </row>
    <row r="222" spans="1:7">
      <c r="A222" s="31">
        <v>3</v>
      </c>
      <c r="B222" s="156" t="s">
        <v>76</v>
      </c>
      <c r="C222" s="136"/>
      <c r="D222" s="136"/>
      <c r="E222" s="136"/>
      <c r="F222" s="136"/>
      <c r="G222" s="137"/>
    </row>
    <row r="223" spans="1:7">
      <c r="A223" s="31">
        <v>3.1</v>
      </c>
      <c r="B223" s="156" t="s">
        <v>83</v>
      </c>
      <c r="C223" s="136"/>
      <c r="D223" s="136"/>
      <c r="E223" s="136"/>
      <c r="F223" s="136"/>
      <c r="G223" s="137"/>
    </row>
    <row r="224" spans="1:7">
      <c r="A224" s="9"/>
      <c r="B224" s="6" t="s">
        <v>67</v>
      </c>
      <c r="C224" s="7" t="s">
        <v>6</v>
      </c>
      <c r="D224" s="17">
        <v>1</v>
      </c>
      <c r="E224" s="7">
        <v>1</v>
      </c>
      <c r="F224" s="7"/>
      <c r="G224" s="8">
        <f t="shared" ref="G224:G225" si="12">E224*D224</f>
        <v>1</v>
      </c>
    </row>
    <row r="225" spans="1:7">
      <c r="A225" s="9"/>
      <c r="B225" s="6" t="s">
        <v>23</v>
      </c>
      <c r="C225" s="7" t="s">
        <v>6</v>
      </c>
      <c r="D225" s="7">
        <v>1</v>
      </c>
      <c r="E225" s="7">
        <v>1</v>
      </c>
      <c r="F225" s="7"/>
      <c r="G225" s="8">
        <f t="shared" si="12"/>
        <v>1</v>
      </c>
    </row>
    <row r="226" spans="1:7">
      <c r="A226" s="4"/>
      <c r="B226" s="4"/>
      <c r="C226" s="4"/>
      <c r="D226" s="4"/>
      <c r="E226" s="4"/>
      <c r="F226" s="4"/>
      <c r="G226" s="4"/>
    </row>
    <row r="227" spans="1:7" ht="15.75">
      <c r="A227" s="9"/>
      <c r="B227" s="155" t="s">
        <v>14</v>
      </c>
      <c r="C227" s="136"/>
      <c r="D227" s="136"/>
      <c r="E227" s="136"/>
      <c r="F227" s="137"/>
      <c r="G227" s="10">
        <f>SUM(G224:G226)</f>
        <v>2</v>
      </c>
    </row>
    <row r="228" spans="1:7">
      <c r="A228" s="4"/>
      <c r="B228" s="4"/>
      <c r="C228" s="4"/>
      <c r="D228" s="4"/>
      <c r="E228" s="4"/>
      <c r="F228" s="4"/>
      <c r="G228" s="4"/>
    </row>
    <row r="229" spans="1:7">
      <c r="A229" s="31">
        <v>4</v>
      </c>
      <c r="B229" s="156" t="s">
        <v>80</v>
      </c>
      <c r="C229" s="136"/>
      <c r="D229" s="136"/>
      <c r="E229" s="136"/>
      <c r="F229" s="136"/>
      <c r="G229" s="137"/>
    </row>
    <row r="230" spans="1:7">
      <c r="A230" s="31">
        <v>4.0999999999999996</v>
      </c>
      <c r="B230" s="156" t="s">
        <v>86</v>
      </c>
      <c r="C230" s="136"/>
      <c r="D230" s="136"/>
      <c r="E230" s="136"/>
      <c r="F230" s="136"/>
      <c r="G230" s="137"/>
    </row>
    <row r="231" spans="1:7">
      <c r="A231" s="9"/>
      <c r="B231" s="6" t="s">
        <v>56</v>
      </c>
      <c r="C231" s="7" t="s">
        <v>12</v>
      </c>
      <c r="D231" s="7"/>
      <c r="E231" s="17">
        <v>22</v>
      </c>
      <c r="F231" s="17">
        <v>12.5</v>
      </c>
      <c r="G231" s="8">
        <f t="shared" ref="G231:G244" si="13">F231*E231*D231</f>
        <v>0</v>
      </c>
    </row>
    <row r="232" spans="1:7">
      <c r="A232" s="9"/>
      <c r="B232" s="6" t="s">
        <v>36</v>
      </c>
      <c r="C232" s="7" t="s">
        <v>12</v>
      </c>
      <c r="D232" s="7">
        <v>1</v>
      </c>
      <c r="E232" s="17">
        <v>22</v>
      </c>
      <c r="F232" s="17">
        <v>12.5</v>
      </c>
      <c r="G232" s="8">
        <f t="shared" si="13"/>
        <v>275</v>
      </c>
    </row>
    <row r="233" spans="1:7">
      <c r="A233" s="9"/>
      <c r="B233" s="6" t="s">
        <v>49</v>
      </c>
      <c r="C233" s="7" t="s">
        <v>12</v>
      </c>
      <c r="D233" s="7">
        <v>1</v>
      </c>
      <c r="E233" s="17">
        <v>18.75</v>
      </c>
      <c r="F233" s="17">
        <v>53.75</v>
      </c>
      <c r="G233" s="8">
        <f t="shared" si="13"/>
        <v>1007.8125</v>
      </c>
    </row>
    <row r="234" spans="1:7">
      <c r="A234" s="9"/>
      <c r="B234" s="9"/>
      <c r="C234" s="7" t="s">
        <v>12</v>
      </c>
      <c r="D234" s="7">
        <v>1</v>
      </c>
      <c r="E234" s="17">
        <v>6.5</v>
      </c>
      <c r="F234" s="17">
        <v>17.25</v>
      </c>
      <c r="G234" s="8">
        <f t="shared" si="13"/>
        <v>112.125</v>
      </c>
    </row>
    <row r="235" spans="1:7">
      <c r="A235" s="9"/>
      <c r="B235" s="6" t="s">
        <v>67</v>
      </c>
      <c r="C235" s="7" t="s">
        <v>12</v>
      </c>
      <c r="D235" s="7">
        <v>1</v>
      </c>
      <c r="E235" s="17">
        <v>32.5</v>
      </c>
      <c r="F235" s="17">
        <v>26</v>
      </c>
      <c r="G235" s="8">
        <f t="shared" si="13"/>
        <v>845</v>
      </c>
    </row>
    <row r="236" spans="1:7">
      <c r="A236" s="9"/>
      <c r="B236" s="9"/>
      <c r="C236" s="7" t="s">
        <v>12</v>
      </c>
      <c r="D236" s="7">
        <v>1</v>
      </c>
      <c r="E236" s="17">
        <v>26</v>
      </c>
      <c r="F236" s="17">
        <v>25.75</v>
      </c>
      <c r="G236" s="8">
        <f t="shared" si="13"/>
        <v>669.5</v>
      </c>
    </row>
    <row r="237" spans="1:7">
      <c r="A237" s="9"/>
      <c r="B237" s="6" t="s">
        <v>38</v>
      </c>
      <c r="C237" s="7" t="s">
        <v>12</v>
      </c>
      <c r="D237" s="7">
        <v>1</v>
      </c>
      <c r="E237" s="17">
        <v>20.25</v>
      </c>
      <c r="F237" s="17">
        <v>10.75</v>
      </c>
      <c r="G237" s="8">
        <f t="shared" si="13"/>
        <v>217.6875</v>
      </c>
    </row>
    <row r="238" spans="1:7">
      <c r="A238" s="9"/>
      <c r="B238" s="6" t="s">
        <v>39</v>
      </c>
      <c r="C238" s="7" t="s">
        <v>12</v>
      </c>
      <c r="D238" s="7">
        <v>1</v>
      </c>
      <c r="E238" s="17">
        <v>15.75</v>
      </c>
      <c r="F238" s="17">
        <v>10.75</v>
      </c>
      <c r="G238" s="8">
        <f t="shared" si="13"/>
        <v>169.3125</v>
      </c>
    </row>
    <row r="239" spans="1:7">
      <c r="A239" s="9"/>
      <c r="B239" s="6" t="s">
        <v>40</v>
      </c>
      <c r="C239" s="7" t="s">
        <v>12</v>
      </c>
      <c r="D239" s="7">
        <v>1</v>
      </c>
      <c r="E239" s="17">
        <v>19.25</v>
      </c>
      <c r="F239" s="17">
        <v>8.75</v>
      </c>
      <c r="G239" s="8">
        <f t="shared" si="13"/>
        <v>168.4375</v>
      </c>
    </row>
    <row r="240" spans="1:7">
      <c r="A240" s="9"/>
      <c r="B240" s="6" t="s">
        <v>203</v>
      </c>
      <c r="C240" s="7" t="s">
        <v>12</v>
      </c>
      <c r="D240" s="7">
        <v>1</v>
      </c>
      <c r="E240" s="17">
        <v>11</v>
      </c>
      <c r="F240" s="17">
        <v>9.25</v>
      </c>
      <c r="G240" s="8">
        <f t="shared" si="13"/>
        <v>101.75</v>
      </c>
    </row>
    <row r="241" spans="1:7">
      <c r="A241" s="9"/>
      <c r="B241" s="6" t="s">
        <v>42</v>
      </c>
      <c r="C241" s="7" t="s">
        <v>12</v>
      </c>
      <c r="D241" s="7">
        <v>1</v>
      </c>
      <c r="E241" s="17">
        <v>8.75</v>
      </c>
      <c r="F241" s="17">
        <v>13.25</v>
      </c>
      <c r="G241" s="8">
        <f t="shared" si="13"/>
        <v>115.9375</v>
      </c>
    </row>
    <row r="242" spans="1:7">
      <c r="A242" s="9"/>
      <c r="B242" s="6" t="s">
        <v>23</v>
      </c>
      <c r="C242" s="7" t="s">
        <v>12</v>
      </c>
      <c r="D242" s="17">
        <v>1</v>
      </c>
      <c r="E242" s="17">
        <v>16.25</v>
      </c>
      <c r="F242" s="17">
        <v>16.25</v>
      </c>
      <c r="G242" s="8">
        <f t="shared" si="13"/>
        <v>264.0625</v>
      </c>
    </row>
    <row r="243" spans="1:7">
      <c r="A243" s="9"/>
      <c r="B243" s="6" t="s">
        <v>230</v>
      </c>
      <c r="C243" s="7" t="s">
        <v>12</v>
      </c>
      <c r="D243" s="17">
        <v>1</v>
      </c>
      <c r="E243" s="17">
        <v>22.25</v>
      </c>
      <c r="F243" s="17">
        <v>6.25</v>
      </c>
      <c r="G243" s="8">
        <f t="shared" si="13"/>
        <v>139.0625</v>
      </c>
    </row>
    <row r="244" spans="1:7">
      <c r="A244" s="9"/>
      <c r="B244" s="6" t="s">
        <v>231</v>
      </c>
      <c r="C244" s="7" t="s">
        <v>12</v>
      </c>
      <c r="D244" s="17">
        <v>1</v>
      </c>
      <c r="E244" s="17">
        <v>19.25</v>
      </c>
      <c r="F244" s="17">
        <v>5</v>
      </c>
      <c r="G244" s="8">
        <f t="shared" si="13"/>
        <v>96.25</v>
      </c>
    </row>
    <row r="245" spans="1:7">
      <c r="A245" s="9"/>
      <c r="B245" s="9"/>
      <c r="C245" s="7"/>
      <c r="D245" s="7"/>
      <c r="E245" s="7"/>
      <c r="F245" s="7"/>
      <c r="G245" s="8"/>
    </row>
    <row r="246" spans="1:7" ht="15.75">
      <c r="A246" s="9"/>
      <c r="B246" s="155" t="s">
        <v>14</v>
      </c>
      <c r="C246" s="136"/>
      <c r="D246" s="136"/>
      <c r="E246" s="136"/>
      <c r="F246" s="137"/>
      <c r="G246" s="10">
        <f>SUM(G231:G245)</f>
        <v>4181.9375</v>
      </c>
    </row>
    <row r="247" spans="1:7">
      <c r="A247" s="31">
        <v>4.2</v>
      </c>
      <c r="B247" s="156" t="s">
        <v>87</v>
      </c>
      <c r="C247" s="136"/>
      <c r="D247" s="136"/>
      <c r="E247" s="136"/>
      <c r="F247" s="136"/>
      <c r="G247" s="137"/>
    </row>
    <row r="248" spans="1:7">
      <c r="A248" s="9"/>
      <c r="B248" s="6" t="s">
        <v>35</v>
      </c>
      <c r="C248" s="7" t="s">
        <v>88</v>
      </c>
      <c r="D248" s="7">
        <v>1</v>
      </c>
      <c r="E248" s="17">
        <v>6.5</v>
      </c>
      <c r="F248" s="7"/>
      <c r="G248" s="8">
        <f t="shared" ref="G248:G269" si="14">E248*D248</f>
        <v>6.5</v>
      </c>
    </row>
    <row r="249" spans="1:7">
      <c r="A249" s="9"/>
      <c r="B249" s="9"/>
      <c r="C249" s="7" t="s">
        <v>88</v>
      </c>
      <c r="D249" s="7">
        <v>1</v>
      </c>
      <c r="E249" s="17">
        <v>22</v>
      </c>
      <c r="F249" s="7"/>
      <c r="G249" s="8">
        <f t="shared" si="14"/>
        <v>22</v>
      </c>
    </row>
    <row r="250" spans="1:7">
      <c r="A250" s="9"/>
      <c r="B250" s="9"/>
      <c r="C250" s="7" t="s">
        <v>88</v>
      </c>
      <c r="D250" s="7">
        <v>1</v>
      </c>
      <c r="E250" s="17">
        <v>12.5</v>
      </c>
      <c r="F250" s="7"/>
      <c r="G250" s="8">
        <f t="shared" si="14"/>
        <v>12.5</v>
      </c>
    </row>
    <row r="251" spans="1:7">
      <c r="A251" s="9"/>
      <c r="B251" s="6" t="s">
        <v>36</v>
      </c>
      <c r="C251" s="7" t="s">
        <v>88</v>
      </c>
      <c r="D251" s="17">
        <v>1</v>
      </c>
      <c r="E251" s="17">
        <v>22</v>
      </c>
      <c r="F251" s="7"/>
      <c r="G251" s="8">
        <f t="shared" si="14"/>
        <v>22</v>
      </c>
    </row>
    <row r="252" spans="1:7">
      <c r="A252" s="9"/>
      <c r="B252" s="9"/>
      <c r="C252" s="7" t="s">
        <v>88</v>
      </c>
      <c r="D252" s="17">
        <v>1</v>
      </c>
      <c r="E252" s="17">
        <v>12.5</v>
      </c>
      <c r="F252" s="7"/>
      <c r="G252" s="8">
        <f t="shared" si="14"/>
        <v>12.5</v>
      </c>
    </row>
    <row r="253" spans="1:7">
      <c r="A253" s="9"/>
      <c r="B253" s="6" t="s">
        <v>89</v>
      </c>
      <c r="C253" s="7" t="s">
        <v>88</v>
      </c>
      <c r="D253" s="17">
        <v>2</v>
      </c>
      <c r="E253" s="17">
        <v>3.5</v>
      </c>
      <c r="F253" s="7"/>
      <c r="G253" s="8">
        <f t="shared" si="14"/>
        <v>7</v>
      </c>
    </row>
    <row r="254" spans="1:7">
      <c r="A254" s="9"/>
      <c r="B254" s="9"/>
      <c r="C254" s="7" t="s">
        <v>88</v>
      </c>
      <c r="D254" s="17">
        <v>2</v>
      </c>
      <c r="E254" s="17">
        <v>17.25</v>
      </c>
      <c r="F254" s="7"/>
      <c r="G254" s="8">
        <f t="shared" si="14"/>
        <v>34.5</v>
      </c>
    </row>
    <row r="255" spans="1:7">
      <c r="A255" s="9"/>
      <c r="B255" s="9"/>
      <c r="C255" s="7" t="s">
        <v>88</v>
      </c>
      <c r="D255" s="17">
        <v>1</v>
      </c>
      <c r="E255" s="17">
        <v>13</v>
      </c>
      <c r="F255" s="7"/>
      <c r="G255" s="8">
        <f t="shared" si="14"/>
        <v>13</v>
      </c>
    </row>
    <row r="256" spans="1:7">
      <c r="A256" s="9"/>
      <c r="B256" s="9"/>
      <c r="C256" s="7" t="s">
        <v>88</v>
      </c>
      <c r="D256" s="7">
        <v>1</v>
      </c>
      <c r="E256" s="17">
        <v>53.75</v>
      </c>
      <c r="F256" s="7"/>
      <c r="G256" s="8">
        <f t="shared" si="14"/>
        <v>53.75</v>
      </c>
    </row>
    <row r="257" spans="1:7">
      <c r="A257" s="9"/>
      <c r="B257" s="9"/>
      <c r="C257" s="7" t="s">
        <v>88</v>
      </c>
      <c r="D257" s="7">
        <v>1</v>
      </c>
      <c r="E257" s="17">
        <v>19</v>
      </c>
      <c r="F257" s="7"/>
      <c r="G257" s="8">
        <f t="shared" si="14"/>
        <v>19</v>
      </c>
    </row>
    <row r="258" spans="1:7">
      <c r="A258" s="9"/>
      <c r="B258" s="6" t="s">
        <v>67</v>
      </c>
      <c r="C258" s="7" t="s">
        <v>88</v>
      </c>
      <c r="D258" s="17">
        <v>2</v>
      </c>
      <c r="E258" s="17">
        <v>26</v>
      </c>
      <c r="F258" s="7"/>
      <c r="G258" s="8">
        <f t="shared" si="14"/>
        <v>52</v>
      </c>
    </row>
    <row r="259" spans="1:7">
      <c r="A259" s="9"/>
      <c r="B259" s="9"/>
      <c r="C259" s="7" t="s">
        <v>88</v>
      </c>
      <c r="D259" s="7">
        <v>2</v>
      </c>
      <c r="E259" s="17">
        <v>56</v>
      </c>
      <c r="F259" s="7"/>
      <c r="G259" s="8">
        <f t="shared" si="14"/>
        <v>112</v>
      </c>
    </row>
    <row r="260" spans="1:7">
      <c r="A260" s="9"/>
      <c r="B260" s="6" t="s">
        <v>38</v>
      </c>
      <c r="C260" s="7" t="s">
        <v>88</v>
      </c>
      <c r="D260" s="7">
        <v>2</v>
      </c>
      <c r="E260" s="17">
        <v>10.75</v>
      </c>
      <c r="F260" s="7"/>
      <c r="G260" s="8">
        <f t="shared" si="14"/>
        <v>21.5</v>
      </c>
    </row>
    <row r="261" spans="1:7">
      <c r="A261" s="9"/>
      <c r="B261" s="9"/>
      <c r="C261" s="7" t="s">
        <v>88</v>
      </c>
      <c r="D261" s="17">
        <v>1</v>
      </c>
      <c r="E261" s="7">
        <v>17</v>
      </c>
      <c r="F261" s="7"/>
      <c r="G261" s="8">
        <f t="shared" si="14"/>
        <v>17</v>
      </c>
    </row>
    <row r="262" spans="1:7">
      <c r="A262" s="9"/>
      <c r="B262" s="6" t="s">
        <v>39</v>
      </c>
      <c r="C262" s="7" t="s">
        <v>12</v>
      </c>
      <c r="D262" s="17">
        <v>2</v>
      </c>
      <c r="E262" s="17">
        <v>10.75</v>
      </c>
      <c r="F262" s="17"/>
      <c r="G262" s="8">
        <f t="shared" si="14"/>
        <v>21.5</v>
      </c>
    </row>
    <row r="263" spans="1:7">
      <c r="A263" s="9"/>
      <c r="B263" s="6"/>
      <c r="C263" s="7" t="s">
        <v>12</v>
      </c>
      <c r="D263" s="17">
        <v>1</v>
      </c>
      <c r="E263" s="17">
        <v>17.75</v>
      </c>
      <c r="F263" s="17"/>
      <c r="G263" s="8">
        <f t="shared" si="14"/>
        <v>17.75</v>
      </c>
    </row>
    <row r="264" spans="1:7">
      <c r="A264" s="9"/>
      <c r="B264" s="6" t="s">
        <v>40</v>
      </c>
      <c r="C264" s="7" t="s">
        <v>12</v>
      </c>
      <c r="D264" s="7">
        <v>1</v>
      </c>
      <c r="E264" s="17">
        <v>19.25</v>
      </c>
      <c r="F264" s="17"/>
      <c r="G264" s="8">
        <f t="shared" si="14"/>
        <v>19.25</v>
      </c>
    </row>
    <row r="265" spans="1:7">
      <c r="A265" s="9"/>
      <c r="B265" s="6"/>
      <c r="C265" s="7" t="s">
        <v>12</v>
      </c>
      <c r="D265" s="17">
        <v>2</v>
      </c>
      <c r="E265" s="17">
        <v>8.75</v>
      </c>
      <c r="F265" s="17"/>
      <c r="G265" s="8">
        <f t="shared" si="14"/>
        <v>17.5</v>
      </c>
    </row>
    <row r="266" spans="1:7">
      <c r="A266" s="9"/>
      <c r="B266" s="6" t="s">
        <v>41</v>
      </c>
      <c r="C266" s="7" t="s">
        <v>12</v>
      </c>
      <c r="D266" s="17">
        <v>2</v>
      </c>
      <c r="E266" s="17">
        <v>11</v>
      </c>
      <c r="F266" s="17"/>
      <c r="G266" s="8">
        <f t="shared" si="14"/>
        <v>22</v>
      </c>
    </row>
    <row r="267" spans="1:7">
      <c r="A267" s="9"/>
      <c r="B267" s="6"/>
      <c r="C267" s="7" t="s">
        <v>12</v>
      </c>
      <c r="D267" s="7">
        <v>1</v>
      </c>
      <c r="E267" s="17">
        <v>9</v>
      </c>
      <c r="F267" s="17"/>
      <c r="G267" s="8">
        <f t="shared" si="14"/>
        <v>9</v>
      </c>
    </row>
    <row r="268" spans="1:7">
      <c r="A268" s="9"/>
      <c r="B268" s="6" t="s">
        <v>42</v>
      </c>
      <c r="C268" s="7" t="s">
        <v>12</v>
      </c>
      <c r="D268" s="7">
        <v>1</v>
      </c>
      <c r="E268" s="17">
        <v>13.25</v>
      </c>
      <c r="F268" s="17"/>
      <c r="G268" s="8">
        <f t="shared" si="14"/>
        <v>13.25</v>
      </c>
    </row>
    <row r="269" spans="1:7">
      <c r="A269" s="9"/>
      <c r="B269" s="9"/>
      <c r="C269" s="7" t="s">
        <v>12</v>
      </c>
      <c r="D269" s="7">
        <v>1</v>
      </c>
      <c r="E269" s="17">
        <v>8.75</v>
      </c>
      <c r="F269" s="17"/>
      <c r="G269" s="8">
        <f t="shared" si="14"/>
        <v>8.75</v>
      </c>
    </row>
    <row r="270" spans="1:7">
      <c r="A270" s="9"/>
      <c r="B270" s="9"/>
      <c r="C270" s="7"/>
      <c r="D270" s="7"/>
      <c r="E270" s="7"/>
      <c r="F270" s="7"/>
      <c r="G270" s="8"/>
    </row>
    <row r="271" spans="1:7" ht="15.75">
      <c r="A271" s="9"/>
      <c r="B271" s="155" t="s">
        <v>14</v>
      </c>
      <c r="C271" s="136"/>
      <c r="D271" s="136"/>
      <c r="E271" s="136"/>
      <c r="F271" s="137"/>
      <c r="G271" s="10">
        <f>SUM(G248:G270)</f>
        <v>534.25</v>
      </c>
    </row>
    <row r="272" spans="1:7">
      <c r="A272" s="4"/>
      <c r="B272" s="4"/>
      <c r="C272" s="4"/>
      <c r="D272" s="4"/>
      <c r="E272" s="4"/>
      <c r="F272" s="4"/>
      <c r="G272" s="4"/>
    </row>
    <row r="273" spans="1:7">
      <c r="A273" s="31">
        <v>5</v>
      </c>
      <c r="B273" s="156" t="s">
        <v>92</v>
      </c>
      <c r="C273" s="136"/>
      <c r="D273" s="136"/>
      <c r="E273" s="136"/>
      <c r="F273" s="136"/>
      <c r="G273" s="137"/>
    </row>
    <row r="274" spans="1:7">
      <c r="A274" s="31"/>
      <c r="B274" s="156" t="s">
        <v>78</v>
      </c>
      <c r="C274" s="136"/>
      <c r="D274" s="136"/>
      <c r="E274" s="136"/>
      <c r="F274" s="136"/>
      <c r="G274" s="137"/>
    </row>
    <row r="275" spans="1:7">
      <c r="A275" s="9"/>
      <c r="B275" s="6" t="s">
        <v>35</v>
      </c>
      <c r="C275" s="7" t="s">
        <v>12</v>
      </c>
      <c r="D275" s="17">
        <v>2</v>
      </c>
      <c r="E275" s="17">
        <v>16.25</v>
      </c>
      <c r="F275" s="17">
        <v>3</v>
      </c>
      <c r="G275" s="8">
        <f t="shared" ref="G275:G291" si="15">F275*E275*D275</f>
        <v>97.5</v>
      </c>
    </row>
    <row r="276" spans="1:7">
      <c r="A276" s="9"/>
      <c r="B276" s="9"/>
      <c r="C276" s="7" t="s">
        <v>12</v>
      </c>
      <c r="D276" s="17">
        <v>2</v>
      </c>
      <c r="E276" s="17">
        <v>13</v>
      </c>
      <c r="F276" s="17">
        <v>3</v>
      </c>
      <c r="G276" s="8">
        <f t="shared" si="15"/>
        <v>78</v>
      </c>
    </row>
    <row r="277" spans="1:7">
      <c r="A277" s="9"/>
      <c r="B277" s="6"/>
      <c r="C277" s="7" t="s">
        <v>12</v>
      </c>
      <c r="D277" s="17">
        <v>2</v>
      </c>
      <c r="E277" s="17">
        <v>22</v>
      </c>
      <c r="F277" s="17">
        <v>10</v>
      </c>
      <c r="G277" s="8">
        <f t="shared" si="15"/>
        <v>440</v>
      </c>
    </row>
    <row r="278" spans="1:7">
      <c r="A278" s="9"/>
      <c r="B278" s="6" t="s">
        <v>36</v>
      </c>
      <c r="C278" s="7" t="s">
        <v>12</v>
      </c>
      <c r="D278" s="17">
        <v>2</v>
      </c>
      <c r="E278" s="17">
        <v>12.75</v>
      </c>
      <c r="F278" s="17">
        <v>3</v>
      </c>
      <c r="G278" s="8">
        <f t="shared" si="15"/>
        <v>76.5</v>
      </c>
    </row>
    <row r="279" spans="1:7">
      <c r="A279" s="9"/>
      <c r="B279" s="9"/>
      <c r="C279" s="7" t="s">
        <v>12</v>
      </c>
      <c r="D279" s="17">
        <v>2</v>
      </c>
      <c r="E279" s="17">
        <v>22.25</v>
      </c>
      <c r="F279" s="17">
        <v>3</v>
      </c>
      <c r="G279" s="8">
        <f t="shared" si="15"/>
        <v>133.5</v>
      </c>
    </row>
    <row r="280" spans="1:7">
      <c r="A280" s="9"/>
      <c r="B280" s="6" t="s">
        <v>37</v>
      </c>
      <c r="C280" s="7" t="s">
        <v>12</v>
      </c>
      <c r="D280" s="17">
        <v>2</v>
      </c>
      <c r="E280" s="17">
        <v>8.75</v>
      </c>
      <c r="F280" s="17">
        <v>3</v>
      </c>
      <c r="G280" s="8">
        <f t="shared" si="15"/>
        <v>52.5</v>
      </c>
    </row>
    <row r="281" spans="1:7">
      <c r="A281" s="9"/>
      <c r="B281" s="6" t="s">
        <v>38</v>
      </c>
      <c r="C281" s="7" t="s">
        <v>12</v>
      </c>
      <c r="D281" s="17">
        <v>2</v>
      </c>
      <c r="E281" s="17">
        <v>19.25</v>
      </c>
      <c r="F281" s="17">
        <v>3</v>
      </c>
      <c r="G281" s="8">
        <f t="shared" si="15"/>
        <v>115.5</v>
      </c>
    </row>
    <row r="282" spans="1:7">
      <c r="A282" s="9"/>
      <c r="B282" s="6" t="s">
        <v>39</v>
      </c>
      <c r="C282" s="7" t="s">
        <v>12</v>
      </c>
      <c r="D282" s="17">
        <v>2</v>
      </c>
      <c r="E282" s="17">
        <v>18</v>
      </c>
      <c r="F282" s="17">
        <v>3</v>
      </c>
      <c r="G282" s="8">
        <f t="shared" si="15"/>
        <v>108</v>
      </c>
    </row>
    <row r="283" spans="1:7">
      <c r="A283" s="9"/>
      <c r="B283" s="6" t="s">
        <v>40</v>
      </c>
      <c r="C283" s="7" t="s">
        <v>12</v>
      </c>
      <c r="D283" s="17">
        <v>2</v>
      </c>
      <c r="E283" s="17">
        <v>10</v>
      </c>
      <c r="F283" s="17">
        <v>3</v>
      </c>
      <c r="G283" s="8">
        <f t="shared" si="15"/>
        <v>60</v>
      </c>
    </row>
    <row r="284" spans="1:7">
      <c r="A284" s="9"/>
      <c r="B284" s="6" t="s">
        <v>41</v>
      </c>
      <c r="C284" s="7" t="s">
        <v>12</v>
      </c>
      <c r="D284" s="17">
        <v>2</v>
      </c>
      <c r="E284" s="17">
        <v>8.75</v>
      </c>
      <c r="F284" s="17">
        <v>3</v>
      </c>
      <c r="G284" s="8">
        <f t="shared" si="15"/>
        <v>52.5</v>
      </c>
    </row>
    <row r="285" spans="1:7">
      <c r="A285" s="9"/>
      <c r="B285" s="6"/>
      <c r="C285" s="7" t="s">
        <v>12</v>
      </c>
      <c r="D285" s="17">
        <v>2</v>
      </c>
      <c r="E285" s="17">
        <v>1</v>
      </c>
      <c r="F285" s="17">
        <v>10</v>
      </c>
      <c r="G285" s="8">
        <f t="shared" si="15"/>
        <v>20</v>
      </c>
    </row>
    <row r="286" spans="1:7">
      <c r="A286" s="9"/>
      <c r="B286" s="6" t="s">
        <v>42</v>
      </c>
      <c r="C286" s="7" t="s">
        <v>12</v>
      </c>
      <c r="D286" s="17">
        <v>2</v>
      </c>
      <c r="E286" s="17">
        <v>8.5</v>
      </c>
      <c r="F286" s="17">
        <v>3</v>
      </c>
      <c r="G286" s="8">
        <f t="shared" si="15"/>
        <v>51</v>
      </c>
    </row>
    <row r="287" spans="1:7">
      <c r="A287" s="9"/>
      <c r="B287" s="6" t="s">
        <v>79</v>
      </c>
      <c r="C287" s="7" t="s">
        <v>12</v>
      </c>
      <c r="D287" s="17">
        <v>2</v>
      </c>
      <c r="E287" s="17">
        <v>10.75</v>
      </c>
      <c r="F287" s="17">
        <v>10</v>
      </c>
      <c r="G287" s="8">
        <f t="shared" si="15"/>
        <v>215</v>
      </c>
    </row>
    <row r="288" spans="1:7">
      <c r="A288" s="9"/>
      <c r="B288" s="6" t="s">
        <v>23</v>
      </c>
      <c r="C288" s="7" t="s">
        <v>12</v>
      </c>
      <c r="D288" s="17">
        <v>2</v>
      </c>
      <c r="E288" s="17">
        <v>18.25</v>
      </c>
      <c r="F288" s="17">
        <v>10</v>
      </c>
      <c r="G288" s="8">
        <f t="shared" si="15"/>
        <v>365</v>
      </c>
    </row>
    <row r="289" spans="1:7">
      <c r="A289" s="9"/>
      <c r="B289" s="6" t="s">
        <v>81</v>
      </c>
      <c r="C289" s="7" t="s">
        <v>12</v>
      </c>
      <c r="D289" s="17">
        <v>2</v>
      </c>
      <c r="E289" s="17">
        <v>6.5</v>
      </c>
      <c r="F289" s="17">
        <v>10</v>
      </c>
      <c r="G289" s="8">
        <f t="shared" si="15"/>
        <v>130</v>
      </c>
    </row>
    <row r="290" spans="1:7">
      <c r="A290" s="9"/>
      <c r="B290" s="9"/>
      <c r="C290" s="7" t="s">
        <v>12</v>
      </c>
      <c r="D290" s="17">
        <v>2</v>
      </c>
      <c r="E290" s="17">
        <v>17.25</v>
      </c>
      <c r="F290" s="17">
        <v>10</v>
      </c>
      <c r="G290" s="8">
        <f t="shared" si="15"/>
        <v>345</v>
      </c>
    </row>
    <row r="291" spans="1:7">
      <c r="A291" s="9"/>
      <c r="B291" s="9"/>
      <c r="C291" s="7" t="s">
        <v>12</v>
      </c>
      <c r="D291" s="17">
        <v>2</v>
      </c>
      <c r="E291" s="17">
        <v>19</v>
      </c>
      <c r="F291" s="17">
        <v>10</v>
      </c>
      <c r="G291" s="8">
        <f t="shared" si="15"/>
        <v>380</v>
      </c>
    </row>
    <row r="292" spans="1:7">
      <c r="A292" s="9"/>
      <c r="B292" s="9"/>
      <c r="C292" s="7"/>
      <c r="D292" s="7"/>
      <c r="E292" s="7"/>
      <c r="F292" s="7"/>
      <c r="G292" s="8"/>
    </row>
    <row r="293" spans="1:7" ht="15.75">
      <c r="A293" s="9"/>
      <c r="B293" s="155" t="s">
        <v>14</v>
      </c>
      <c r="C293" s="136"/>
      <c r="D293" s="136"/>
      <c r="E293" s="136"/>
      <c r="F293" s="137"/>
      <c r="G293" s="10">
        <f>SUM(G274:G291)</f>
        <v>2720</v>
      </c>
    </row>
    <row r="294" spans="1:7" ht="15.75" hidden="1">
      <c r="A294" s="9"/>
      <c r="B294" s="155" t="s">
        <v>14</v>
      </c>
      <c r="C294" s="136"/>
      <c r="D294" s="136"/>
      <c r="E294" s="136"/>
      <c r="F294" s="137"/>
      <c r="G294" s="10">
        <f>G293*1.2</f>
        <v>3264</v>
      </c>
    </row>
    <row r="295" spans="1:7">
      <c r="A295" s="31"/>
      <c r="B295" s="156" t="s">
        <v>61</v>
      </c>
      <c r="C295" s="136"/>
      <c r="D295" s="136"/>
      <c r="E295" s="136"/>
      <c r="F295" s="136"/>
      <c r="G295" s="137"/>
    </row>
    <row r="296" spans="1:7">
      <c r="A296" s="9"/>
      <c r="B296" s="6" t="s">
        <v>56</v>
      </c>
      <c r="C296" s="7" t="s">
        <v>12</v>
      </c>
      <c r="D296" s="7">
        <v>1</v>
      </c>
      <c r="E296" s="17">
        <v>22</v>
      </c>
      <c r="F296" s="17">
        <v>12.5</v>
      </c>
      <c r="G296" s="8">
        <f t="shared" ref="G296:G316" si="16">F296*E296*D296</f>
        <v>275</v>
      </c>
    </row>
    <row r="297" spans="1:7">
      <c r="A297" s="9"/>
      <c r="B297" s="6" t="s">
        <v>36</v>
      </c>
      <c r="C297" s="7" t="s">
        <v>12</v>
      </c>
      <c r="D297" s="7">
        <v>1</v>
      </c>
      <c r="E297" s="17">
        <v>22</v>
      </c>
      <c r="F297" s="17">
        <v>12.5</v>
      </c>
      <c r="G297" s="8">
        <f t="shared" si="16"/>
        <v>275</v>
      </c>
    </row>
    <row r="298" spans="1:7">
      <c r="A298" s="9"/>
      <c r="B298" s="6" t="s">
        <v>49</v>
      </c>
      <c r="C298" s="7" t="s">
        <v>12</v>
      </c>
      <c r="D298" s="7">
        <v>1</v>
      </c>
      <c r="E298" s="17">
        <v>18.75</v>
      </c>
      <c r="F298" s="17">
        <v>53.75</v>
      </c>
      <c r="G298" s="8">
        <f t="shared" si="16"/>
        <v>1007.8125</v>
      </c>
    </row>
    <row r="299" spans="1:7">
      <c r="A299" s="9"/>
      <c r="B299" s="9"/>
      <c r="C299" s="7" t="s">
        <v>12</v>
      </c>
      <c r="D299" s="7">
        <v>1</v>
      </c>
      <c r="E299" s="17">
        <v>6.5</v>
      </c>
      <c r="F299" s="17">
        <v>17.25</v>
      </c>
      <c r="G299" s="8">
        <f t="shared" si="16"/>
        <v>112.125</v>
      </c>
    </row>
    <row r="300" spans="1:7">
      <c r="A300" s="9"/>
      <c r="B300" s="6" t="s">
        <v>67</v>
      </c>
      <c r="C300" s="7" t="s">
        <v>12</v>
      </c>
      <c r="D300" s="7">
        <v>1</v>
      </c>
      <c r="E300" s="17">
        <v>32.5</v>
      </c>
      <c r="F300" s="17">
        <v>26</v>
      </c>
      <c r="G300" s="8">
        <f t="shared" si="16"/>
        <v>845</v>
      </c>
    </row>
    <row r="301" spans="1:7">
      <c r="A301" s="9"/>
      <c r="B301" s="9"/>
      <c r="C301" s="7" t="s">
        <v>12</v>
      </c>
      <c r="D301" s="7">
        <v>1</v>
      </c>
      <c r="E301" s="17">
        <v>26</v>
      </c>
      <c r="F301" s="17">
        <v>25.75</v>
      </c>
      <c r="G301" s="8">
        <f t="shared" si="16"/>
        <v>669.5</v>
      </c>
    </row>
    <row r="302" spans="1:7">
      <c r="A302" s="9"/>
      <c r="B302" s="6" t="s">
        <v>38</v>
      </c>
      <c r="C302" s="7" t="s">
        <v>12</v>
      </c>
      <c r="D302" s="7">
        <v>1</v>
      </c>
      <c r="E302" s="17">
        <v>20.25</v>
      </c>
      <c r="F302" s="17">
        <v>10.75</v>
      </c>
      <c r="G302" s="8">
        <f t="shared" si="16"/>
        <v>217.6875</v>
      </c>
    </row>
    <row r="303" spans="1:7">
      <c r="A303" s="9"/>
      <c r="B303" s="6" t="s">
        <v>39</v>
      </c>
      <c r="C303" s="7" t="s">
        <v>12</v>
      </c>
      <c r="D303" s="7">
        <v>1</v>
      </c>
      <c r="E303" s="17">
        <v>15.75</v>
      </c>
      <c r="F303" s="17">
        <v>10.75</v>
      </c>
      <c r="G303" s="8">
        <f t="shared" si="16"/>
        <v>169.3125</v>
      </c>
    </row>
    <row r="304" spans="1:7">
      <c r="A304" s="9"/>
      <c r="B304" s="6" t="s">
        <v>40</v>
      </c>
      <c r="C304" s="7" t="s">
        <v>12</v>
      </c>
      <c r="D304" s="7">
        <v>1</v>
      </c>
      <c r="E304" s="17">
        <v>19.25</v>
      </c>
      <c r="F304" s="17">
        <v>8.75</v>
      </c>
      <c r="G304" s="8">
        <f t="shared" si="16"/>
        <v>168.4375</v>
      </c>
    </row>
    <row r="305" spans="1:7">
      <c r="A305" s="9"/>
      <c r="B305" s="6" t="s">
        <v>41</v>
      </c>
      <c r="C305" s="7" t="s">
        <v>12</v>
      </c>
      <c r="D305" s="7">
        <v>1</v>
      </c>
      <c r="E305" s="17">
        <v>11</v>
      </c>
      <c r="F305" s="17">
        <v>9.25</v>
      </c>
      <c r="G305" s="8">
        <f t="shared" si="16"/>
        <v>101.75</v>
      </c>
    </row>
    <row r="306" spans="1:7">
      <c r="A306" s="9"/>
      <c r="B306" s="6" t="s">
        <v>42</v>
      </c>
      <c r="C306" s="7" t="s">
        <v>12</v>
      </c>
      <c r="D306" s="7">
        <v>1</v>
      </c>
      <c r="E306" s="17">
        <v>8.75</v>
      </c>
      <c r="F306" s="17">
        <v>13.25</v>
      </c>
      <c r="G306" s="8">
        <f t="shared" si="16"/>
        <v>115.9375</v>
      </c>
    </row>
    <row r="307" spans="1:7">
      <c r="A307" s="9"/>
      <c r="B307" s="6" t="s">
        <v>23</v>
      </c>
      <c r="C307" s="7" t="s">
        <v>12</v>
      </c>
      <c r="D307" s="7">
        <v>1</v>
      </c>
      <c r="E307" s="17">
        <v>16.25</v>
      </c>
      <c r="F307" s="17">
        <v>16.25</v>
      </c>
      <c r="G307" s="8">
        <f t="shared" si="16"/>
        <v>264.0625</v>
      </c>
    </row>
    <row r="308" spans="1:7">
      <c r="A308" s="9"/>
      <c r="B308" s="4"/>
      <c r="C308" s="7" t="s">
        <v>12</v>
      </c>
      <c r="D308" s="17">
        <v>2</v>
      </c>
      <c r="E308" s="17">
        <v>22.25</v>
      </c>
      <c r="F308" s="17">
        <v>4</v>
      </c>
      <c r="G308" s="8">
        <f t="shared" si="16"/>
        <v>178</v>
      </c>
    </row>
    <row r="309" spans="1:7">
      <c r="A309" s="9"/>
      <c r="B309" s="6" t="s">
        <v>212</v>
      </c>
      <c r="C309" s="7" t="s">
        <v>12</v>
      </c>
      <c r="D309" s="17">
        <v>2</v>
      </c>
      <c r="E309" s="17">
        <v>11.25</v>
      </c>
      <c r="F309" s="17">
        <v>4</v>
      </c>
      <c r="G309" s="8">
        <f t="shared" si="16"/>
        <v>90</v>
      </c>
    </row>
    <row r="310" spans="1:7">
      <c r="A310" s="9"/>
      <c r="B310" s="4"/>
      <c r="C310" s="7" t="s">
        <v>12</v>
      </c>
      <c r="D310" s="17">
        <v>2</v>
      </c>
      <c r="E310" s="17">
        <v>18.25</v>
      </c>
      <c r="F310" s="17">
        <v>4</v>
      </c>
      <c r="G310" s="8">
        <f t="shared" si="16"/>
        <v>146</v>
      </c>
    </row>
    <row r="311" spans="1:7">
      <c r="A311" s="9"/>
      <c r="B311" s="6" t="s">
        <v>213</v>
      </c>
      <c r="C311" s="7" t="s">
        <v>12</v>
      </c>
      <c r="D311" s="17">
        <v>3</v>
      </c>
      <c r="E311" s="17">
        <v>11.25</v>
      </c>
      <c r="F311" s="17">
        <v>4</v>
      </c>
      <c r="G311" s="8">
        <f t="shared" si="16"/>
        <v>135</v>
      </c>
    </row>
    <row r="312" spans="1:7">
      <c r="A312" s="9"/>
      <c r="B312" s="4"/>
      <c r="C312" s="7" t="s">
        <v>12</v>
      </c>
      <c r="D312" s="17">
        <v>2</v>
      </c>
      <c r="E312" s="17">
        <v>26.25</v>
      </c>
      <c r="F312" s="17">
        <v>4</v>
      </c>
      <c r="G312" s="8">
        <f t="shared" si="16"/>
        <v>210</v>
      </c>
    </row>
    <row r="313" spans="1:7">
      <c r="A313" s="9"/>
      <c r="B313" s="6" t="s">
        <v>214</v>
      </c>
      <c r="C313" s="7" t="s">
        <v>12</v>
      </c>
      <c r="D313" s="17">
        <v>1</v>
      </c>
      <c r="E313" s="17">
        <v>9.5</v>
      </c>
      <c r="F313" s="17">
        <v>4</v>
      </c>
      <c r="G313" s="8">
        <f t="shared" si="16"/>
        <v>38</v>
      </c>
    </row>
    <row r="314" spans="1:7">
      <c r="A314" s="9"/>
      <c r="B314" s="6" t="s">
        <v>215</v>
      </c>
      <c r="C314" s="7" t="s">
        <v>12</v>
      </c>
      <c r="D314" s="17">
        <v>1</v>
      </c>
      <c r="E314" s="17">
        <v>10.75</v>
      </c>
      <c r="F314" s="17">
        <v>4</v>
      </c>
      <c r="G314" s="8">
        <f t="shared" si="16"/>
        <v>43</v>
      </c>
    </row>
    <row r="315" spans="1:7">
      <c r="A315" s="9"/>
      <c r="B315" s="6" t="s">
        <v>216</v>
      </c>
      <c r="C315" s="7" t="s">
        <v>12</v>
      </c>
      <c r="D315" s="17">
        <v>1</v>
      </c>
      <c r="E315" s="17">
        <v>27.5</v>
      </c>
      <c r="F315" s="17">
        <v>4</v>
      </c>
      <c r="G315" s="8">
        <f t="shared" si="16"/>
        <v>110</v>
      </c>
    </row>
    <row r="316" spans="1:7">
      <c r="A316" s="9"/>
      <c r="B316" s="4"/>
      <c r="C316" s="7" t="s">
        <v>12</v>
      </c>
      <c r="D316" s="17">
        <v>1</v>
      </c>
      <c r="E316" s="17">
        <v>13</v>
      </c>
      <c r="F316" s="17">
        <v>4</v>
      </c>
      <c r="G316" s="8">
        <f t="shared" si="16"/>
        <v>52</v>
      </c>
    </row>
    <row r="317" spans="1:7">
      <c r="A317" s="9"/>
      <c r="B317" s="9"/>
      <c r="C317" s="7"/>
      <c r="D317" s="7"/>
      <c r="E317" s="7"/>
      <c r="F317" s="7"/>
      <c r="G317" s="8"/>
    </row>
    <row r="318" spans="1:7" ht="15.75">
      <c r="A318" s="9"/>
      <c r="B318" s="155" t="s">
        <v>14</v>
      </c>
      <c r="C318" s="136"/>
      <c r="D318" s="136"/>
      <c r="E318" s="136"/>
      <c r="F318" s="137"/>
      <c r="G318" s="10">
        <f>SUM(G296:G317)</f>
        <v>5223.625</v>
      </c>
    </row>
    <row r="319" spans="1:7" ht="15.75" hidden="1">
      <c r="A319" s="9"/>
      <c r="B319" s="155" t="s">
        <v>14</v>
      </c>
      <c r="C319" s="136"/>
      <c r="D319" s="136"/>
      <c r="E319" s="136"/>
      <c r="F319" s="137"/>
      <c r="G319" s="10">
        <f>G318*1.2</f>
        <v>6268.3499999999995</v>
      </c>
    </row>
    <row r="320" spans="1:7">
      <c r="A320" s="4"/>
      <c r="B320" s="4"/>
      <c r="C320" s="4"/>
      <c r="D320" s="4"/>
      <c r="E320" s="4"/>
      <c r="F320" s="4"/>
      <c r="G320" s="4"/>
    </row>
    <row r="321" spans="1:7" ht="15.75">
      <c r="A321" s="9"/>
      <c r="B321" s="155" t="s">
        <v>102</v>
      </c>
      <c r="C321" s="136"/>
      <c r="D321" s="136"/>
      <c r="E321" s="136"/>
      <c r="F321" s="137"/>
      <c r="G321" s="10">
        <f>G294+G319</f>
        <v>9532.3499999999985</v>
      </c>
    </row>
    <row r="322" spans="1:7">
      <c r="A322" s="72"/>
      <c r="B322" s="72"/>
      <c r="C322" s="72"/>
      <c r="D322" s="72"/>
      <c r="E322" s="72"/>
      <c r="F322" s="72"/>
      <c r="G322" s="72"/>
    </row>
    <row r="323" spans="1:7">
      <c r="A323" s="14">
        <v>6</v>
      </c>
      <c r="B323" s="157" t="s">
        <v>85</v>
      </c>
      <c r="C323" s="136"/>
      <c r="D323" s="136"/>
      <c r="E323" s="136"/>
      <c r="F323" s="136"/>
      <c r="G323" s="137"/>
    </row>
    <row r="324" spans="1:7">
      <c r="A324" s="14">
        <v>6.1</v>
      </c>
      <c r="B324" s="157" t="s">
        <v>105</v>
      </c>
      <c r="C324" s="136"/>
      <c r="D324" s="136"/>
      <c r="E324" s="136"/>
      <c r="F324" s="136"/>
      <c r="G324" s="137"/>
    </row>
    <row r="325" spans="1:7">
      <c r="A325" s="72"/>
      <c r="B325" s="6" t="s">
        <v>56</v>
      </c>
      <c r="C325" s="7" t="s">
        <v>12</v>
      </c>
      <c r="D325" s="7">
        <v>1</v>
      </c>
      <c r="E325" s="17">
        <v>6</v>
      </c>
      <c r="F325" s="17">
        <v>4</v>
      </c>
      <c r="G325" s="8">
        <f>F325*E325*D325</f>
        <v>24</v>
      </c>
    </row>
    <row r="326" spans="1:7">
      <c r="A326" s="72"/>
      <c r="B326" s="4"/>
      <c r="C326" s="4"/>
      <c r="D326" s="4"/>
      <c r="E326" s="4"/>
      <c r="F326" s="4"/>
      <c r="G326" s="4"/>
    </row>
    <row r="327" spans="1:7" ht="15.75">
      <c r="A327" s="72"/>
      <c r="B327" s="155" t="s">
        <v>14</v>
      </c>
      <c r="C327" s="136"/>
      <c r="D327" s="136"/>
      <c r="E327" s="136"/>
      <c r="F327" s="137"/>
      <c r="G327" s="10">
        <f>SUM(G325:G326)</f>
        <v>24</v>
      </c>
    </row>
    <row r="328" spans="1:7">
      <c r="A328" s="14">
        <v>6.2</v>
      </c>
      <c r="B328" s="157" t="s">
        <v>106</v>
      </c>
      <c r="C328" s="136"/>
      <c r="D328" s="136"/>
      <c r="E328" s="136"/>
      <c r="F328" s="136"/>
      <c r="G328" s="137"/>
    </row>
    <row r="329" spans="1:7">
      <c r="A329" s="72"/>
      <c r="B329" s="6" t="s">
        <v>36</v>
      </c>
      <c r="C329" s="7" t="s">
        <v>12</v>
      </c>
      <c r="D329" s="7">
        <v>1</v>
      </c>
      <c r="E329" s="17">
        <v>1</v>
      </c>
      <c r="F329" s="17">
        <v>1</v>
      </c>
      <c r="G329" s="8">
        <f t="shared" ref="G329:G330" si="17">F329*E329*D329</f>
        <v>1</v>
      </c>
    </row>
    <row r="330" spans="1:7">
      <c r="A330" s="72"/>
      <c r="B330" s="6" t="s">
        <v>38</v>
      </c>
      <c r="C330" s="7" t="s">
        <v>12</v>
      </c>
      <c r="D330" s="7"/>
      <c r="E330" s="17">
        <v>1</v>
      </c>
      <c r="F330" s="17">
        <v>1</v>
      </c>
      <c r="G330" s="8">
        <f t="shared" si="17"/>
        <v>0</v>
      </c>
    </row>
    <row r="331" spans="1:7">
      <c r="A331" s="72"/>
      <c r="B331" s="4"/>
      <c r="C331" s="4"/>
      <c r="D331" s="4"/>
      <c r="E331" s="4"/>
      <c r="F331" s="4"/>
      <c r="G331" s="4"/>
    </row>
    <row r="332" spans="1:7" ht="15.75">
      <c r="A332" s="72"/>
      <c r="B332" s="155" t="s">
        <v>14</v>
      </c>
      <c r="C332" s="136"/>
      <c r="D332" s="136"/>
      <c r="E332" s="136"/>
      <c r="F332" s="137"/>
      <c r="G332" s="10">
        <f>SUM(G329:G331)</f>
        <v>1</v>
      </c>
    </row>
    <row r="333" spans="1:7">
      <c r="A333" s="14">
        <v>6.3</v>
      </c>
      <c r="B333" s="157" t="s">
        <v>109</v>
      </c>
      <c r="C333" s="136"/>
      <c r="D333" s="136"/>
      <c r="E333" s="136"/>
      <c r="F333" s="136"/>
      <c r="G333" s="137"/>
    </row>
    <row r="334" spans="1:7">
      <c r="A334" s="72"/>
      <c r="B334" s="6" t="s">
        <v>39</v>
      </c>
      <c r="C334" s="7" t="s">
        <v>12</v>
      </c>
      <c r="D334" s="7">
        <v>1</v>
      </c>
      <c r="E334" s="17">
        <v>1</v>
      </c>
      <c r="F334" s="17">
        <v>1</v>
      </c>
      <c r="G334" s="8">
        <f>F334*E334*D334</f>
        <v>1</v>
      </c>
    </row>
    <row r="335" spans="1:7">
      <c r="A335" s="72"/>
      <c r="B335" s="4"/>
      <c r="C335" s="4"/>
      <c r="D335" s="4"/>
      <c r="E335" s="4"/>
      <c r="F335" s="4"/>
      <c r="G335" s="4"/>
    </row>
    <row r="336" spans="1:7" ht="15.75">
      <c r="A336" s="72"/>
      <c r="B336" s="155" t="s">
        <v>14</v>
      </c>
      <c r="C336" s="136"/>
      <c r="D336" s="136"/>
      <c r="E336" s="136"/>
      <c r="F336" s="137"/>
      <c r="G336" s="10">
        <f>SUM(G334:G335)</f>
        <v>1</v>
      </c>
    </row>
    <row r="337" spans="1:7">
      <c r="A337" s="14">
        <v>6.4</v>
      </c>
      <c r="B337" s="157" t="s">
        <v>112</v>
      </c>
      <c r="C337" s="136"/>
      <c r="D337" s="136"/>
      <c r="E337" s="136"/>
      <c r="F337" s="136"/>
      <c r="G337" s="137"/>
    </row>
    <row r="338" spans="1:7">
      <c r="A338" s="72"/>
      <c r="B338" s="6" t="s">
        <v>40</v>
      </c>
      <c r="C338" s="7" t="s">
        <v>12</v>
      </c>
      <c r="D338" s="7">
        <v>1</v>
      </c>
      <c r="E338" s="17">
        <v>1</v>
      </c>
      <c r="F338" s="17">
        <v>1</v>
      </c>
      <c r="G338" s="8">
        <f t="shared" ref="G338:G339" si="18">F338*E338*D338</f>
        <v>1</v>
      </c>
    </row>
    <row r="339" spans="1:7">
      <c r="A339" s="72"/>
      <c r="B339" s="6" t="s">
        <v>42</v>
      </c>
      <c r="C339" s="7" t="s">
        <v>12</v>
      </c>
      <c r="D339" s="7">
        <v>1</v>
      </c>
      <c r="E339" s="17">
        <v>1</v>
      </c>
      <c r="F339" s="17">
        <v>1</v>
      </c>
      <c r="G339" s="8">
        <f t="shared" si="18"/>
        <v>1</v>
      </c>
    </row>
    <row r="340" spans="1:7">
      <c r="A340" s="72"/>
      <c r="B340" s="4"/>
      <c r="C340" s="4"/>
      <c r="D340" s="4"/>
      <c r="E340" s="4"/>
      <c r="F340" s="4"/>
      <c r="G340" s="4"/>
    </row>
    <row r="341" spans="1:7" ht="15.75">
      <c r="A341" s="72"/>
      <c r="B341" s="155" t="s">
        <v>14</v>
      </c>
      <c r="C341" s="136"/>
      <c r="D341" s="136"/>
      <c r="E341" s="136"/>
      <c r="F341" s="137"/>
      <c r="G341" s="10">
        <f>SUM(G338:G340)</f>
        <v>2</v>
      </c>
    </row>
    <row r="342" spans="1:7">
      <c r="A342" s="14">
        <v>6.5</v>
      </c>
      <c r="B342" s="157" t="s">
        <v>204</v>
      </c>
      <c r="C342" s="136"/>
      <c r="D342" s="136"/>
      <c r="E342" s="136"/>
      <c r="F342" s="136"/>
      <c r="G342" s="137"/>
    </row>
    <row r="343" spans="1:7">
      <c r="A343" s="72"/>
      <c r="B343" s="6" t="s">
        <v>203</v>
      </c>
      <c r="C343" s="7" t="s">
        <v>12</v>
      </c>
      <c r="D343" s="7">
        <v>1</v>
      </c>
      <c r="E343" s="17">
        <v>1</v>
      </c>
      <c r="F343" s="17">
        <v>1</v>
      </c>
      <c r="G343" s="8">
        <f>F343*E343*D343</f>
        <v>1</v>
      </c>
    </row>
    <row r="344" spans="1:7">
      <c r="A344" s="72"/>
      <c r="B344" s="4"/>
      <c r="C344" s="4"/>
      <c r="D344" s="4"/>
      <c r="E344" s="4"/>
      <c r="F344" s="4"/>
      <c r="G344" s="4"/>
    </row>
    <row r="345" spans="1:7" ht="15.75">
      <c r="A345" s="72"/>
      <c r="B345" s="155" t="s">
        <v>14</v>
      </c>
      <c r="C345" s="136"/>
      <c r="D345" s="136"/>
      <c r="E345" s="136"/>
      <c r="F345" s="137"/>
      <c r="G345" s="10">
        <f>SUM(G343:G344)</f>
        <v>1</v>
      </c>
    </row>
    <row r="346" spans="1:7">
      <c r="A346" s="14">
        <v>6.6</v>
      </c>
      <c r="B346" s="157" t="s">
        <v>119</v>
      </c>
      <c r="C346" s="136"/>
      <c r="D346" s="136"/>
      <c r="E346" s="136"/>
      <c r="F346" s="136"/>
      <c r="G346" s="137"/>
    </row>
    <row r="347" spans="1:7">
      <c r="A347" s="72"/>
      <c r="B347" s="6" t="s">
        <v>49</v>
      </c>
      <c r="C347" s="7" t="s">
        <v>12</v>
      </c>
      <c r="D347" s="17">
        <v>38</v>
      </c>
      <c r="E347" s="17">
        <v>1</v>
      </c>
      <c r="F347" s="17">
        <v>1</v>
      </c>
      <c r="G347" s="8">
        <f t="shared" ref="G347:G348" si="19">F347*E347*D347</f>
        <v>38</v>
      </c>
    </row>
    <row r="348" spans="1:7">
      <c r="A348" s="72"/>
      <c r="B348" s="6" t="s">
        <v>121</v>
      </c>
      <c r="C348" s="7" t="s">
        <v>12</v>
      </c>
      <c r="D348" s="17">
        <v>78</v>
      </c>
      <c r="E348" s="17">
        <v>1</v>
      </c>
      <c r="F348" s="17">
        <v>1</v>
      </c>
      <c r="G348" s="8">
        <f t="shared" si="19"/>
        <v>78</v>
      </c>
    </row>
    <row r="349" spans="1:7">
      <c r="A349" s="72"/>
      <c r="B349" s="4"/>
      <c r="C349" s="4"/>
      <c r="D349" s="4"/>
      <c r="E349" s="4"/>
      <c r="F349" s="4"/>
      <c r="G349" s="4"/>
    </row>
    <row r="350" spans="1:7" ht="15.75">
      <c r="A350" s="72"/>
      <c r="B350" s="155" t="s">
        <v>14</v>
      </c>
      <c r="C350" s="136"/>
      <c r="D350" s="136"/>
      <c r="E350" s="136"/>
      <c r="F350" s="137"/>
      <c r="G350" s="10">
        <f>SUM(G347:G349)</f>
        <v>116</v>
      </c>
    </row>
    <row r="351" spans="1:7">
      <c r="A351" s="14">
        <v>6.7</v>
      </c>
      <c r="B351" s="157" t="s">
        <v>123</v>
      </c>
      <c r="C351" s="136"/>
      <c r="D351" s="136"/>
      <c r="E351" s="136"/>
      <c r="F351" s="136"/>
      <c r="G351" s="137"/>
    </row>
    <row r="352" spans="1:7">
      <c r="A352" s="72"/>
      <c r="B352" s="6" t="s">
        <v>49</v>
      </c>
      <c r="C352" s="7" t="s">
        <v>12</v>
      </c>
      <c r="D352" s="17">
        <v>3</v>
      </c>
      <c r="E352" s="17">
        <v>1</v>
      </c>
      <c r="F352" s="17">
        <v>1</v>
      </c>
      <c r="G352" s="8">
        <f t="shared" ref="G352:G354" si="20">F352*E352*D352</f>
        <v>3</v>
      </c>
    </row>
    <row r="353" spans="1:7">
      <c r="A353" s="72"/>
      <c r="B353" s="6" t="s">
        <v>121</v>
      </c>
      <c r="C353" s="7" t="s">
        <v>12</v>
      </c>
      <c r="D353" s="17">
        <v>15</v>
      </c>
      <c r="E353" s="17">
        <v>1</v>
      </c>
      <c r="F353" s="17">
        <v>1</v>
      </c>
      <c r="G353" s="8">
        <f t="shared" si="20"/>
        <v>15</v>
      </c>
    </row>
    <row r="354" spans="1:7">
      <c r="A354" s="72"/>
      <c r="B354" s="6" t="s">
        <v>232</v>
      </c>
      <c r="C354" s="7" t="s">
        <v>12</v>
      </c>
      <c r="D354" s="17">
        <v>6</v>
      </c>
      <c r="E354" s="17">
        <v>1</v>
      </c>
      <c r="F354" s="17">
        <v>1</v>
      </c>
      <c r="G354" s="8">
        <f t="shared" si="20"/>
        <v>6</v>
      </c>
    </row>
    <row r="355" spans="1:7">
      <c r="A355" s="72"/>
      <c r="B355" s="4"/>
      <c r="C355" s="4"/>
      <c r="D355" s="4"/>
      <c r="E355" s="4"/>
      <c r="F355" s="4"/>
      <c r="G355" s="4"/>
    </row>
    <row r="356" spans="1:7" ht="15.75">
      <c r="A356" s="72"/>
      <c r="B356" s="155" t="s">
        <v>14</v>
      </c>
      <c r="C356" s="136"/>
      <c r="D356" s="136"/>
      <c r="E356" s="136"/>
      <c r="F356" s="137"/>
      <c r="G356" s="10">
        <f>SUM(G352:G355)</f>
        <v>24</v>
      </c>
    </row>
    <row r="357" spans="1:7">
      <c r="A357" s="14">
        <v>6.8</v>
      </c>
      <c r="B357" s="157" t="s">
        <v>233</v>
      </c>
      <c r="C357" s="136"/>
      <c r="D357" s="136"/>
      <c r="E357" s="136"/>
      <c r="F357" s="136"/>
      <c r="G357" s="137"/>
    </row>
    <row r="358" spans="1:7">
      <c r="A358" s="72"/>
      <c r="B358" s="6" t="s">
        <v>67</v>
      </c>
      <c r="C358" s="7" t="s">
        <v>12</v>
      </c>
      <c r="D358" s="17">
        <v>39</v>
      </c>
      <c r="E358" s="17">
        <v>1</v>
      </c>
      <c r="F358" s="17">
        <v>1</v>
      </c>
      <c r="G358" s="8">
        <f>F358*E358*D358</f>
        <v>39</v>
      </c>
    </row>
    <row r="359" spans="1:7">
      <c r="A359" s="72"/>
      <c r="B359" s="4"/>
      <c r="C359" s="4"/>
      <c r="D359" s="4"/>
      <c r="E359" s="4"/>
      <c r="F359" s="4"/>
      <c r="G359" s="4"/>
    </row>
    <row r="360" spans="1:7" ht="15.75">
      <c r="A360" s="72"/>
      <c r="B360" s="155" t="s">
        <v>14</v>
      </c>
      <c r="C360" s="136"/>
      <c r="D360" s="136"/>
      <c r="E360" s="136"/>
      <c r="F360" s="137"/>
      <c r="G360" s="10">
        <f>SUM(G358:G359)</f>
        <v>39</v>
      </c>
    </row>
    <row r="361" spans="1:7">
      <c r="A361" s="14">
        <v>6.9</v>
      </c>
      <c r="B361" s="157" t="s">
        <v>205</v>
      </c>
      <c r="C361" s="136"/>
      <c r="D361" s="136"/>
      <c r="E361" s="136"/>
      <c r="F361" s="136"/>
      <c r="G361" s="137"/>
    </row>
    <row r="362" spans="1:7">
      <c r="A362" s="72"/>
      <c r="B362" s="6" t="s">
        <v>67</v>
      </c>
      <c r="C362" s="7" t="s">
        <v>12</v>
      </c>
      <c r="D362" s="17">
        <v>1</v>
      </c>
      <c r="E362" s="17">
        <v>1</v>
      </c>
      <c r="F362" s="17">
        <v>1</v>
      </c>
      <c r="G362" s="8">
        <f t="shared" ref="G362:G363" si="21">F362*E362*D362</f>
        <v>1</v>
      </c>
    </row>
    <row r="363" spans="1:7">
      <c r="A363" s="72"/>
      <c r="B363" s="6" t="s">
        <v>23</v>
      </c>
      <c r="C363" s="7" t="s">
        <v>12</v>
      </c>
      <c r="D363" s="17">
        <v>2</v>
      </c>
      <c r="E363" s="17">
        <v>1</v>
      </c>
      <c r="F363" s="17">
        <v>1</v>
      </c>
      <c r="G363" s="8">
        <f t="shared" si="21"/>
        <v>2</v>
      </c>
    </row>
    <row r="364" spans="1:7">
      <c r="A364" s="72"/>
      <c r="B364" s="4"/>
      <c r="C364" s="4"/>
      <c r="D364" s="4"/>
      <c r="E364" s="4"/>
      <c r="F364" s="4"/>
      <c r="G364" s="4"/>
    </row>
    <row r="365" spans="1:7" ht="15.75">
      <c r="A365" s="72"/>
      <c r="B365" s="155" t="s">
        <v>14</v>
      </c>
      <c r="C365" s="136"/>
      <c r="D365" s="136"/>
      <c r="E365" s="136"/>
      <c r="F365" s="137"/>
      <c r="G365" s="10">
        <f>SUM(G362:G364)</f>
        <v>3</v>
      </c>
    </row>
    <row r="366" spans="1:7">
      <c r="A366" s="132">
        <v>6.1</v>
      </c>
      <c r="B366" s="157" t="s">
        <v>207</v>
      </c>
      <c r="C366" s="136"/>
      <c r="D366" s="136"/>
      <c r="E366" s="136"/>
      <c r="F366" s="136"/>
      <c r="G366" s="137"/>
    </row>
    <row r="367" spans="1:7">
      <c r="A367" s="72"/>
      <c r="B367" s="6" t="s">
        <v>67</v>
      </c>
      <c r="C367" s="7" t="s">
        <v>12</v>
      </c>
      <c r="D367" s="17">
        <v>1</v>
      </c>
      <c r="E367" s="17">
        <v>1</v>
      </c>
      <c r="F367" s="17">
        <v>1</v>
      </c>
      <c r="G367" s="8">
        <f>F367*E367*D367</f>
        <v>1</v>
      </c>
    </row>
    <row r="368" spans="1:7">
      <c r="A368" s="72"/>
      <c r="B368" s="4"/>
      <c r="C368" s="4"/>
      <c r="D368" s="4"/>
      <c r="E368" s="4"/>
      <c r="F368" s="4"/>
      <c r="G368" s="4"/>
    </row>
    <row r="369" spans="1:7" ht="15.75">
      <c r="A369" s="72"/>
      <c r="B369" s="155" t="s">
        <v>14</v>
      </c>
      <c r="C369" s="136"/>
      <c r="D369" s="136"/>
      <c r="E369" s="136"/>
      <c r="F369" s="137"/>
      <c r="G369" s="10">
        <f>SUM(G367:G368)</f>
        <v>1</v>
      </c>
    </row>
    <row r="370" spans="1:7">
      <c r="A370" s="14"/>
      <c r="B370" s="133"/>
      <c r="C370" s="133"/>
      <c r="D370" s="133"/>
      <c r="E370" s="133"/>
      <c r="F370" s="133"/>
      <c r="G370" s="133"/>
    </row>
    <row r="371" spans="1:7">
      <c r="A371" s="14">
        <v>7</v>
      </c>
      <c r="B371" s="157" t="s">
        <v>90</v>
      </c>
      <c r="C371" s="136"/>
      <c r="D371" s="136"/>
      <c r="E371" s="136"/>
      <c r="F371" s="136"/>
      <c r="G371" s="137"/>
    </row>
    <row r="372" spans="1:7">
      <c r="A372" s="14">
        <v>7.1</v>
      </c>
      <c r="B372" s="157" t="s">
        <v>133</v>
      </c>
      <c r="C372" s="136"/>
      <c r="D372" s="136"/>
      <c r="E372" s="136"/>
      <c r="F372" s="136"/>
      <c r="G372" s="137"/>
    </row>
    <row r="373" spans="1:7">
      <c r="A373" s="72"/>
      <c r="B373" s="6" t="s">
        <v>56</v>
      </c>
      <c r="C373" s="7" t="s">
        <v>12</v>
      </c>
      <c r="D373" s="7">
        <v>1</v>
      </c>
      <c r="E373" s="17">
        <v>1</v>
      </c>
      <c r="F373" s="17">
        <v>1</v>
      </c>
      <c r="G373" s="8">
        <f t="shared" ref="G373:G382" si="22">F373*E373*D373</f>
        <v>1</v>
      </c>
    </row>
    <row r="374" spans="1:7">
      <c r="A374" s="72"/>
      <c r="B374" s="6" t="s">
        <v>36</v>
      </c>
      <c r="C374" s="7" t="s">
        <v>12</v>
      </c>
      <c r="D374" s="17">
        <v>11</v>
      </c>
      <c r="E374" s="17">
        <v>1</v>
      </c>
      <c r="F374" s="17">
        <v>1</v>
      </c>
      <c r="G374" s="8">
        <f t="shared" si="22"/>
        <v>11</v>
      </c>
    </row>
    <row r="375" spans="1:7">
      <c r="A375" s="72"/>
      <c r="B375" s="6" t="s">
        <v>38</v>
      </c>
      <c r="C375" s="7" t="s">
        <v>12</v>
      </c>
      <c r="D375" s="17">
        <v>11</v>
      </c>
      <c r="E375" s="17">
        <v>1</v>
      </c>
      <c r="F375" s="17">
        <v>1</v>
      </c>
      <c r="G375" s="8">
        <f t="shared" si="22"/>
        <v>11</v>
      </c>
    </row>
    <row r="376" spans="1:7">
      <c r="A376" s="72"/>
      <c r="B376" s="6" t="s">
        <v>39</v>
      </c>
      <c r="C376" s="7" t="s">
        <v>12</v>
      </c>
      <c r="D376" s="17">
        <v>8</v>
      </c>
      <c r="E376" s="17">
        <v>1</v>
      </c>
      <c r="F376" s="17">
        <v>1</v>
      </c>
      <c r="G376" s="8">
        <f t="shared" si="22"/>
        <v>8</v>
      </c>
    </row>
    <row r="377" spans="1:7">
      <c r="A377" s="72"/>
      <c r="B377" s="6" t="s">
        <v>40</v>
      </c>
      <c r="C377" s="7" t="s">
        <v>12</v>
      </c>
      <c r="D377" s="17">
        <v>6</v>
      </c>
      <c r="E377" s="17">
        <v>1</v>
      </c>
      <c r="F377" s="17">
        <v>1</v>
      </c>
      <c r="G377" s="8">
        <f t="shared" si="22"/>
        <v>6</v>
      </c>
    </row>
    <row r="378" spans="1:7">
      <c r="A378" s="72"/>
      <c r="B378" s="6" t="s">
        <v>42</v>
      </c>
      <c r="C378" s="7" t="s">
        <v>12</v>
      </c>
      <c r="D378" s="17">
        <v>6</v>
      </c>
      <c r="E378" s="17">
        <v>1</v>
      </c>
      <c r="F378" s="17">
        <v>1</v>
      </c>
      <c r="G378" s="8">
        <f t="shared" si="22"/>
        <v>6</v>
      </c>
    </row>
    <row r="379" spans="1:7">
      <c r="A379" s="72"/>
      <c r="B379" s="6" t="s">
        <v>118</v>
      </c>
      <c r="C379" s="7" t="s">
        <v>12</v>
      </c>
      <c r="D379" s="17">
        <v>3</v>
      </c>
      <c r="E379" s="17">
        <v>1</v>
      </c>
      <c r="F379" s="17">
        <v>1</v>
      </c>
      <c r="G379" s="8">
        <f t="shared" si="22"/>
        <v>3</v>
      </c>
    </row>
    <row r="380" spans="1:7">
      <c r="A380" s="72"/>
      <c r="B380" s="6" t="s">
        <v>234</v>
      </c>
      <c r="C380" s="7" t="s">
        <v>12</v>
      </c>
      <c r="D380" s="17">
        <v>356</v>
      </c>
      <c r="E380" s="17">
        <v>1</v>
      </c>
      <c r="F380" s="17">
        <v>1</v>
      </c>
      <c r="G380" s="8">
        <f t="shared" si="22"/>
        <v>356</v>
      </c>
    </row>
    <row r="381" spans="1:7">
      <c r="A381" s="72"/>
      <c r="B381" s="6" t="s">
        <v>67</v>
      </c>
      <c r="C381" s="7" t="s">
        <v>12</v>
      </c>
      <c r="D381" s="17">
        <v>39</v>
      </c>
      <c r="E381" s="17">
        <v>1</v>
      </c>
      <c r="F381" s="17">
        <v>1</v>
      </c>
      <c r="G381" s="8">
        <f t="shared" si="22"/>
        <v>39</v>
      </c>
    </row>
    <row r="382" spans="1:7">
      <c r="A382" s="72"/>
      <c r="B382" s="6" t="s">
        <v>235</v>
      </c>
      <c r="C382" s="7" t="s">
        <v>12</v>
      </c>
      <c r="D382" s="17">
        <v>43</v>
      </c>
      <c r="E382" s="17">
        <v>1</v>
      </c>
      <c r="F382" s="17">
        <v>1</v>
      </c>
      <c r="G382" s="8">
        <f t="shared" si="22"/>
        <v>43</v>
      </c>
    </row>
    <row r="383" spans="1:7">
      <c r="A383" s="72"/>
      <c r="B383" s="4"/>
      <c r="C383" s="4"/>
      <c r="D383" s="4"/>
      <c r="E383" s="4"/>
      <c r="F383" s="4"/>
      <c r="G383" s="4"/>
    </row>
    <row r="384" spans="1:7" ht="15.75">
      <c r="A384" s="72"/>
      <c r="B384" s="155" t="s">
        <v>14</v>
      </c>
      <c r="C384" s="136"/>
      <c r="D384" s="136"/>
      <c r="E384" s="136"/>
      <c r="F384" s="137"/>
      <c r="G384" s="130">
        <f>SUM(G373:G381)</f>
        <v>441</v>
      </c>
    </row>
    <row r="385" spans="1:7">
      <c r="A385" s="14">
        <v>7.2</v>
      </c>
      <c r="B385" s="157" t="s">
        <v>236</v>
      </c>
      <c r="C385" s="136"/>
      <c r="D385" s="136"/>
      <c r="E385" s="136"/>
      <c r="F385" s="136"/>
      <c r="G385" s="137"/>
    </row>
    <row r="386" spans="1:7">
      <c r="A386" s="72"/>
      <c r="B386" s="6" t="s">
        <v>237</v>
      </c>
      <c r="C386" s="7" t="s">
        <v>12</v>
      </c>
      <c r="D386" s="17">
        <v>8</v>
      </c>
      <c r="E386" s="17">
        <v>1</v>
      </c>
      <c r="F386" s="17">
        <v>1</v>
      </c>
      <c r="G386" s="8">
        <f t="shared" ref="G386:G387" si="23">F386*E386*D386</f>
        <v>8</v>
      </c>
    </row>
    <row r="387" spans="1:7">
      <c r="A387" s="72"/>
      <c r="B387" s="6" t="s">
        <v>67</v>
      </c>
      <c r="C387" s="7" t="s">
        <v>12</v>
      </c>
      <c r="D387" s="17">
        <v>4</v>
      </c>
      <c r="E387" s="17">
        <v>1</v>
      </c>
      <c r="F387" s="17">
        <v>1</v>
      </c>
      <c r="G387" s="8">
        <f t="shared" si="23"/>
        <v>4</v>
      </c>
    </row>
    <row r="388" spans="1:7">
      <c r="A388" s="72"/>
      <c r="B388" s="4"/>
      <c r="C388" s="4"/>
      <c r="D388" s="4"/>
      <c r="E388" s="4"/>
      <c r="F388" s="4"/>
      <c r="G388" s="4"/>
    </row>
    <row r="389" spans="1:7" ht="15.75">
      <c r="A389" s="72"/>
      <c r="B389" s="155" t="s">
        <v>14</v>
      </c>
      <c r="C389" s="136"/>
      <c r="D389" s="136"/>
      <c r="E389" s="136"/>
      <c r="F389" s="137"/>
      <c r="G389" s="10">
        <f>SUM(G386:G388)</f>
        <v>12</v>
      </c>
    </row>
    <row r="390" spans="1:7">
      <c r="A390" s="14"/>
      <c r="B390" s="133"/>
      <c r="C390" s="133"/>
      <c r="D390" s="133"/>
      <c r="E390" s="133"/>
      <c r="F390" s="133"/>
      <c r="G390" s="133"/>
    </row>
    <row r="391" spans="1:7">
      <c r="A391" s="14">
        <v>8.1</v>
      </c>
      <c r="B391" s="157" t="s">
        <v>91</v>
      </c>
      <c r="C391" s="136"/>
      <c r="D391" s="136"/>
      <c r="E391" s="136"/>
      <c r="F391" s="136"/>
      <c r="G391" s="137"/>
    </row>
    <row r="392" spans="1:7">
      <c r="A392" s="72"/>
      <c r="B392" s="6" t="s">
        <v>56</v>
      </c>
      <c r="C392" s="7" t="s">
        <v>12</v>
      </c>
      <c r="D392" s="17">
        <v>1</v>
      </c>
      <c r="E392" s="17">
        <v>22</v>
      </c>
      <c r="F392" s="17">
        <v>9</v>
      </c>
      <c r="G392" s="8">
        <f>F392*E392*D392</f>
        <v>198</v>
      </c>
    </row>
    <row r="393" spans="1:7">
      <c r="A393" s="72"/>
      <c r="B393" s="4"/>
      <c r="C393" s="4"/>
      <c r="D393" s="4"/>
      <c r="E393" s="4"/>
      <c r="F393" s="4"/>
      <c r="G393" s="4"/>
    </row>
    <row r="394" spans="1:7" ht="15.75">
      <c r="A394" s="72"/>
      <c r="B394" s="155" t="s">
        <v>14</v>
      </c>
      <c r="C394" s="136"/>
      <c r="D394" s="136"/>
      <c r="E394" s="136"/>
      <c r="F394" s="137"/>
      <c r="G394" s="10">
        <f>SUM(G392:G393)</f>
        <v>198</v>
      </c>
    </row>
    <row r="395" spans="1:7">
      <c r="A395" s="14">
        <v>8.1999999999999993</v>
      </c>
      <c r="B395" s="157" t="s">
        <v>208</v>
      </c>
      <c r="C395" s="136"/>
      <c r="D395" s="136"/>
      <c r="E395" s="136"/>
      <c r="F395" s="136"/>
      <c r="G395" s="137"/>
    </row>
    <row r="396" spans="1:7">
      <c r="A396" s="72"/>
      <c r="B396" s="6" t="s">
        <v>220</v>
      </c>
      <c r="C396" s="7" t="s">
        <v>12</v>
      </c>
      <c r="D396" s="17">
        <v>1</v>
      </c>
      <c r="E396" s="17">
        <v>4</v>
      </c>
      <c r="F396" s="17">
        <v>8.25</v>
      </c>
      <c r="G396" s="8">
        <f t="shared" ref="G396:G398" si="24">F396*E396*D396</f>
        <v>33</v>
      </c>
    </row>
    <row r="397" spans="1:7">
      <c r="A397" s="72"/>
      <c r="B397" s="4"/>
      <c r="C397" s="7" t="s">
        <v>12</v>
      </c>
      <c r="D397" s="17">
        <v>1</v>
      </c>
      <c r="E397" s="17">
        <v>51.5</v>
      </c>
      <c r="F397" s="17">
        <v>8.25</v>
      </c>
      <c r="G397" s="8">
        <f t="shared" si="24"/>
        <v>424.875</v>
      </c>
    </row>
    <row r="398" spans="1:7">
      <c r="A398" s="72"/>
      <c r="B398" s="6" t="s">
        <v>221</v>
      </c>
      <c r="C398" s="7" t="s">
        <v>12</v>
      </c>
      <c r="D398" s="17">
        <v>1</v>
      </c>
      <c r="E398" s="17">
        <v>6</v>
      </c>
      <c r="F398" s="17">
        <v>8.25</v>
      </c>
      <c r="G398" s="8">
        <f t="shared" si="24"/>
        <v>49.5</v>
      </c>
    </row>
    <row r="399" spans="1:7">
      <c r="A399" s="72"/>
      <c r="B399" s="4"/>
      <c r="C399" s="4"/>
      <c r="D399" s="4"/>
      <c r="E399" s="4"/>
      <c r="F399" s="4"/>
      <c r="G399" s="4"/>
    </row>
    <row r="400" spans="1:7" ht="15.75">
      <c r="A400" s="72"/>
      <c r="B400" s="155" t="s">
        <v>14</v>
      </c>
      <c r="C400" s="136"/>
      <c r="D400" s="136"/>
      <c r="E400" s="136"/>
      <c r="F400" s="137"/>
      <c r="G400" s="10">
        <f>SUM(G396:G399)</f>
        <v>507.375</v>
      </c>
    </row>
    <row r="401" spans="1:7">
      <c r="A401" s="14">
        <v>8.3000000000000007</v>
      </c>
      <c r="B401" s="157" t="s">
        <v>209</v>
      </c>
      <c r="C401" s="136"/>
      <c r="D401" s="136"/>
      <c r="E401" s="136"/>
      <c r="F401" s="136"/>
      <c r="G401" s="137"/>
    </row>
    <row r="402" spans="1:7">
      <c r="A402" s="72"/>
      <c r="B402" s="6" t="s">
        <v>67</v>
      </c>
      <c r="C402" s="7" t="s">
        <v>12</v>
      </c>
      <c r="D402" s="17">
        <v>1</v>
      </c>
      <c r="E402" s="17">
        <v>33</v>
      </c>
      <c r="F402" s="17">
        <v>9</v>
      </c>
      <c r="G402" s="8">
        <f t="shared" ref="G402:G403" si="25">F402*E402*D402</f>
        <v>297</v>
      </c>
    </row>
    <row r="403" spans="1:7">
      <c r="A403" s="72"/>
      <c r="B403" s="4"/>
      <c r="C403" s="7" t="s">
        <v>12</v>
      </c>
      <c r="D403" s="17">
        <v>1</v>
      </c>
      <c r="E403" s="17">
        <v>46.75</v>
      </c>
      <c r="F403" s="17">
        <v>9</v>
      </c>
      <c r="G403" s="8">
        <f t="shared" si="25"/>
        <v>420.75</v>
      </c>
    </row>
    <row r="404" spans="1:7">
      <c r="A404" s="72"/>
      <c r="B404" s="4"/>
      <c r="C404" s="4"/>
      <c r="D404" s="4"/>
      <c r="E404" s="4"/>
      <c r="F404" s="4"/>
      <c r="G404" s="4"/>
    </row>
    <row r="405" spans="1:7" ht="15.75">
      <c r="A405" s="72"/>
      <c r="B405" s="155" t="s">
        <v>14</v>
      </c>
      <c r="C405" s="136"/>
      <c r="D405" s="136"/>
      <c r="E405" s="136"/>
      <c r="F405" s="137"/>
      <c r="G405" s="10">
        <f>SUM(G402:G404)</f>
        <v>717.75</v>
      </c>
    </row>
    <row r="406" spans="1:7">
      <c r="A406" s="14"/>
      <c r="B406" s="133"/>
      <c r="C406" s="133"/>
      <c r="D406" s="133"/>
      <c r="E406" s="133"/>
      <c r="F406" s="133"/>
      <c r="G406" s="133"/>
    </row>
    <row r="407" spans="1:7">
      <c r="A407" s="14"/>
      <c r="B407" s="133"/>
      <c r="C407" s="133"/>
      <c r="D407" s="133"/>
      <c r="E407" s="133"/>
      <c r="F407" s="133"/>
      <c r="G407" s="133"/>
    </row>
    <row r="408" spans="1:7">
      <c r="A408" s="14">
        <v>9</v>
      </c>
      <c r="B408" s="157" t="s">
        <v>180</v>
      </c>
      <c r="C408" s="136"/>
      <c r="D408" s="136"/>
      <c r="E408" s="136"/>
      <c r="F408" s="136"/>
      <c r="G408" s="137"/>
    </row>
    <row r="409" spans="1:7">
      <c r="A409" s="72"/>
      <c r="B409" s="6" t="s">
        <v>220</v>
      </c>
      <c r="C409" s="7" t="s">
        <v>12</v>
      </c>
      <c r="D409" s="17">
        <v>1</v>
      </c>
      <c r="E409" s="17">
        <f>3.25+2.25+32.75</f>
        <v>38.25</v>
      </c>
      <c r="F409" s="17">
        <v>1</v>
      </c>
      <c r="G409" s="8">
        <f t="shared" ref="G409:G410" si="26">F409*E409*D409</f>
        <v>38.25</v>
      </c>
    </row>
    <row r="410" spans="1:7">
      <c r="A410" s="72"/>
      <c r="B410" s="134" t="s">
        <v>238</v>
      </c>
      <c r="C410" s="7" t="s">
        <v>12</v>
      </c>
      <c r="D410" s="17">
        <v>1</v>
      </c>
      <c r="E410" s="17">
        <v>15</v>
      </c>
      <c r="F410" s="17">
        <v>3</v>
      </c>
      <c r="G410" s="8">
        <f t="shared" si="26"/>
        <v>45</v>
      </c>
    </row>
    <row r="411" spans="1:7">
      <c r="A411" s="72"/>
      <c r="B411" s="4"/>
      <c r="C411" s="4"/>
      <c r="D411" s="4"/>
      <c r="E411" s="4"/>
      <c r="F411" s="4"/>
      <c r="G411" s="4"/>
    </row>
    <row r="412" spans="1:7" ht="15.75">
      <c r="A412" s="72"/>
      <c r="B412" s="155" t="s">
        <v>14</v>
      </c>
      <c r="C412" s="136"/>
      <c r="D412" s="136"/>
      <c r="E412" s="136"/>
      <c r="F412" s="137"/>
      <c r="G412" s="10">
        <f>SUM(G409:G411)</f>
        <v>83.25</v>
      </c>
    </row>
    <row r="413" spans="1:7">
      <c r="A413" s="14">
        <v>10</v>
      </c>
      <c r="B413" s="157" t="s">
        <v>138</v>
      </c>
      <c r="C413" s="136"/>
      <c r="D413" s="136"/>
      <c r="E413" s="136"/>
      <c r="F413" s="136"/>
      <c r="G413" s="137"/>
    </row>
    <row r="414" spans="1:7">
      <c r="A414" s="72"/>
      <c r="B414" s="6" t="s">
        <v>67</v>
      </c>
      <c r="C414" s="7" t="s">
        <v>12</v>
      </c>
      <c r="D414" s="17">
        <v>1</v>
      </c>
      <c r="E414" s="17">
        <v>1</v>
      </c>
      <c r="F414" s="17">
        <v>1</v>
      </c>
      <c r="G414" s="8">
        <f>F414*E414*D414</f>
        <v>1</v>
      </c>
    </row>
    <row r="415" spans="1:7">
      <c r="A415" s="72"/>
      <c r="B415" s="4"/>
      <c r="C415" s="4"/>
      <c r="D415" s="4"/>
      <c r="E415" s="4"/>
      <c r="F415" s="4"/>
      <c r="G415" s="4"/>
    </row>
    <row r="416" spans="1:7" ht="15.75">
      <c r="A416" s="72"/>
      <c r="B416" s="155" t="s">
        <v>14</v>
      </c>
      <c r="C416" s="136"/>
      <c r="D416" s="136"/>
      <c r="E416" s="136"/>
      <c r="F416" s="137"/>
      <c r="G416" s="10">
        <f>SUM(G414:G415)</f>
        <v>1</v>
      </c>
    </row>
    <row r="417" spans="1:7">
      <c r="A417" s="14">
        <v>11</v>
      </c>
      <c r="B417" s="157" t="s">
        <v>140</v>
      </c>
      <c r="C417" s="136"/>
      <c r="D417" s="136"/>
      <c r="E417" s="136"/>
      <c r="F417" s="136"/>
      <c r="G417" s="137"/>
    </row>
    <row r="418" spans="1:7">
      <c r="A418" s="72"/>
      <c r="B418" s="6" t="s">
        <v>36</v>
      </c>
      <c r="C418" s="7" t="s">
        <v>12</v>
      </c>
      <c r="D418" s="17">
        <v>1</v>
      </c>
      <c r="E418" s="17">
        <v>22</v>
      </c>
      <c r="F418" s="17">
        <v>9</v>
      </c>
      <c r="G418" s="8">
        <f t="shared" ref="G418:G420" si="27">F418*E418*D418</f>
        <v>198</v>
      </c>
    </row>
    <row r="419" spans="1:7">
      <c r="A419" s="72"/>
      <c r="B419" s="6" t="s">
        <v>38</v>
      </c>
      <c r="C419" s="7" t="s">
        <v>12</v>
      </c>
      <c r="D419" s="17">
        <v>1</v>
      </c>
      <c r="E419" s="17">
        <v>20</v>
      </c>
      <c r="F419" s="17">
        <v>9</v>
      </c>
      <c r="G419" s="8">
        <f t="shared" si="27"/>
        <v>180</v>
      </c>
    </row>
    <row r="420" spans="1:7">
      <c r="A420" s="72"/>
      <c r="B420" s="6" t="s">
        <v>79</v>
      </c>
      <c r="C420" s="7" t="s">
        <v>12</v>
      </c>
      <c r="D420" s="17">
        <v>1</v>
      </c>
      <c r="E420" s="17">
        <v>12</v>
      </c>
      <c r="F420" s="17">
        <v>9</v>
      </c>
      <c r="G420" s="8">
        <f t="shared" si="27"/>
        <v>108</v>
      </c>
    </row>
    <row r="421" spans="1:7">
      <c r="A421" s="72"/>
      <c r="B421" s="4"/>
      <c r="C421" s="4"/>
      <c r="D421" s="4"/>
      <c r="E421" s="4"/>
      <c r="F421" s="4"/>
      <c r="G421" s="4"/>
    </row>
    <row r="422" spans="1:7" ht="15.75">
      <c r="A422" s="72"/>
      <c r="B422" s="155" t="s">
        <v>14</v>
      </c>
      <c r="C422" s="136"/>
      <c r="D422" s="136"/>
      <c r="E422" s="136"/>
      <c r="F422" s="137"/>
      <c r="G422" s="10">
        <f>SUM(G418:G421)</f>
        <v>486</v>
      </c>
    </row>
    <row r="423" spans="1:7">
      <c r="A423" s="14">
        <v>12</v>
      </c>
      <c r="B423" s="157" t="s">
        <v>144</v>
      </c>
      <c r="C423" s="136"/>
      <c r="D423" s="136"/>
      <c r="E423" s="136"/>
      <c r="F423" s="136"/>
      <c r="G423" s="137"/>
    </row>
    <row r="424" spans="1:7">
      <c r="A424" s="72"/>
      <c r="B424" s="6" t="s">
        <v>11</v>
      </c>
      <c r="C424" s="7" t="s">
        <v>12</v>
      </c>
      <c r="D424" s="17">
        <v>6</v>
      </c>
      <c r="E424" s="17">
        <v>6</v>
      </c>
      <c r="F424" s="17">
        <v>4</v>
      </c>
      <c r="G424" s="8">
        <f>F424*E424*D424</f>
        <v>144</v>
      </c>
    </row>
    <row r="425" spans="1:7">
      <c r="A425" s="72"/>
      <c r="B425" s="4"/>
      <c r="C425" s="4"/>
      <c r="D425" s="4"/>
      <c r="E425" s="4"/>
      <c r="F425" s="4"/>
      <c r="G425" s="4"/>
    </row>
    <row r="426" spans="1:7" ht="15.75">
      <c r="A426" s="72"/>
      <c r="B426" s="155" t="s">
        <v>14</v>
      </c>
      <c r="C426" s="136"/>
      <c r="D426" s="136"/>
      <c r="E426" s="136"/>
      <c r="F426" s="137"/>
      <c r="G426" s="10">
        <f>SUM(G424:G425)</f>
        <v>144</v>
      </c>
    </row>
    <row r="427" spans="1:7">
      <c r="A427" s="14">
        <v>13</v>
      </c>
      <c r="B427" s="157" t="s">
        <v>239</v>
      </c>
      <c r="C427" s="136"/>
      <c r="D427" s="136"/>
      <c r="E427" s="136"/>
      <c r="F427" s="136"/>
      <c r="G427" s="137"/>
    </row>
    <row r="428" spans="1:7">
      <c r="A428" s="72"/>
      <c r="B428" s="6" t="s">
        <v>67</v>
      </c>
      <c r="C428" s="7" t="s">
        <v>12</v>
      </c>
      <c r="D428" s="17">
        <v>1</v>
      </c>
      <c r="E428" s="17">
        <v>46</v>
      </c>
      <c r="F428" s="17">
        <v>6</v>
      </c>
      <c r="G428" s="8">
        <f>F428*E428*D428</f>
        <v>276</v>
      </c>
    </row>
    <row r="429" spans="1:7">
      <c r="A429" s="72"/>
      <c r="B429" s="4"/>
      <c r="C429" s="4"/>
      <c r="D429" s="4"/>
      <c r="E429" s="4"/>
      <c r="F429" s="4"/>
      <c r="G429" s="4"/>
    </row>
    <row r="430" spans="1:7" ht="15.75">
      <c r="A430" s="72"/>
      <c r="B430" s="155" t="s">
        <v>14</v>
      </c>
      <c r="C430" s="136"/>
      <c r="D430" s="136"/>
      <c r="E430" s="136"/>
      <c r="F430" s="137"/>
      <c r="G430" s="10">
        <f>SUM(G428:G429)</f>
        <v>276</v>
      </c>
    </row>
    <row r="431" spans="1:7">
      <c r="A431" s="14">
        <v>14</v>
      </c>
      <c r="B431" s="157" t="s">
        <v>189</v>
      </c>
      <c r="C431" s="136"/>
      <c r="D431" s="136"/>
      <c r="E431" s="136"/>
      <c r="F431" s="136"/>
      <c r="G431" s="137"/>
    </row>
    <row r="432" spans="1:7">
      <c r="A432" s="72"/>
      <c r="B432" s="6" t="s">
        <v>206</v>
      </c>
      <c r="C432" s="7" t="s">
        <v>12</v>
      </c>
      <c r="D432" s="17">
        <v>1</v>
      </c>
      <c r="E432" s="17">
        <v>1</v>
      </c>
      <c r="F432" s="17">
        <v>1</v>
      </c>
      <c r="G432" s="8">
        <f>F432*E432*D432</f>
        <v>1</v>
      </c>
    </row>
    <row r="433" spans="1:7">
      <c r="A433" s="72"/>
      <c r="B433" s="4"/>
      <c r="C433" s="4"/>
      <c r="D433" s="4"/>
      <c r="E433" s="4"/>
      <c r="F433" s="4"/>
      <c r="G433" s="4"/>
    </row>
    <row r="434" spans="1:7" ht="15.75">
      <c r="A434" s="72"/>
      <c r="B434" s="155" t="s">
        <v>14</v>
      </c>
      <c r="C434" s="136"/>
      <c r="D434" s="136"/>
      <c r="E434" s="136"/>
      <c r="F434" s="137"/>
      <c r="G434" s="10">
        <f>SUM(G432:G433)</f>
        <v>1</v>
      </c>
    </row>
    <row r="435" spans="1:7">
      <c r="A435" s="14">
        <v>15</v>
      </c>
      <c r="B435" s="157" t="s">
        <v>147</v>
      </c>
      <c r="C435" s="136"/>
      <c r="D435" s="136"/>
      <c r="E435" s="136"/>
      <c r="F435" s="136"/>
      <c r="G435" s="137"/>
    </row>
    <row r="436" spans="1:7">
      <c r="A436" s="72"/>
      <c r="B436" s="6" t="s">
        <v>11</v>
      </c>
      <c r="C436" s="7" t="s">
        <v>12</v>
      </c>
      <c r="D436" s="17">
        <v>1</v>
      </c>
      <c r="E436" s="17">
        <v>1</v>
      </c>
      <c r="F436" s="17">
        <v>1</v>
      </c>
      <c r="G436" s="8">
        <f>F436*E436*D436</f>
        <v>1</v>
      </c>
    </row>
    <row r="437" spans="1:7">
      <c r="A437" s="72"/>
      <c r="B437" s="4"/>
      <c r="C437" s="4"/>
      <c r="D437" s="4"/>
      <c r="E437" s="4"/>
      <c r="F437" s="4"/>
      <c r="G437" s="4"/>
    </row>
    <row r="438" spans="1:7" ht="15.75">
      <c r="A438" s="72"/>
      <c r="B438" s="155" t="s">
        <v>14</v>
      </c>
      <c r="C438" s="136"/>
      <c r="D438" s="136"/>
      <c r="E438" s="136"/>
      <c r="F438" s="137"/>
      <c r="G438" s="10">
        <f>SUM(G436:G437)</f>
        <v>1</v>
      </c>
    </row>
    <row r="439" spans="1:7">
      <c r="A439" s="14">
        <v>16</v>
      </c>
      <c r="B439" s="157" t="s">
        <v>191</v>
      </c>
      <c r="C439" s="136"/>
      <c r="D439" s="136"/>
      <c r="E439" s="136"/>
      <c r="F439" s="136"/>
      <c r="G439" s="137"/>
    </row>
    <row r="440" spans="1:7">
      <c r="A440" s="72"/>
      <c r="B440" s="6" t="s">
        <v>11</v>
      </c>
      <c r="C440" s="7" t="s">
        <v>12</v>
      </c>
      <c r="D440" s="17">
        <v>1</v>
      </c>
      <c r="E440" s="17">
        <v>1</v>
      </c>
      <c r="F440" s="17">
        <v>1</v>
      </c>
      <c r="G440" s="8">
        <f>F440*E440*D440</f>
        <v>1</v>
      </c>
    </row>
    <row r="441" spans="1:7">
      <c r="A441" s="72"/>
      <c r="B441" s="4"/>
      <c r="C441" s="4"/>
      <c r="D441" s="4"/>
      <c r="E441" s="4"/>
      <c r="F441" s="4"/>
      <c r="G441" s="4"/>
    </row>
    <row r="442" spans="1:7" ht="15.75">
      <c r="A442" s="72"/>
      <c r="B442" s="155" t="s">
        <v>14</v>
      </c>
      <c r="C442" s="136"/>
      <c r="D442" s="136"/>
      <c r="E442" s="136"/>
      <c r="F442" s="137"/>
      <c r="G442" s="10">
        <f>SUM(G440:G441)</f>
        <v>1</v>
      </c>
    </row>
    <row r="443" spans="1:7">
      <c r="A443" s="14">
        <v>17</v>
      </c>
      <c r="B443" s="157" t="s">
        <v>193</v>
      </c>
      <c r="C443" s="136"/>
      <c r="D443" s="136"/>
      <c r="E443" s="136"/>
      <c r="F443" s="136"/>
      <c r="G443" s="137"/>
    </row>
    <row r="444" spans="1:7">
      <c r="A444" s="72"/>
      <c r="B444" s="6" t="s">
        <v>11</v>
      </c>
      <c r="C444" s="7" t="s">
        <v>12</v>
      </c>
      <c r="D444" s="17">
        <v>1</v>
      </c>
      <c r="E444" s="17">
        <v>1</v>
      </c>
      <c r="F444" s="17">
        <v>1</v>
      </c>
      <c r="G444" s="8">
        <f>F444*E444*D444</f>
        <v>1</v>
      </c>
    </row>
    <row r="445" spans="1:7">
      <c r="A445" s="72"/>
      <c r="B445" s="4"/>
      <c r="C445" s="4"/>
      <c r="D445" s="4"/>
      <c r="E445" s="4"/>
      <c r="F445" s="4"/>
      <c r="G445" s="4"/>
    </row>
    <row r="446" spans="1:7" ht="15.75">
      <c r="A446" s="72"/>
      <c r="B446" s="155" t="s">
        <v>14</v>
      </c>
      <c r="C446" s="136"/>
      <c r="D446" s="136"/>
      <c r="E446" s="136"/>
      <c r="F446" s="137"/>
      <c r="G446" s="10">
        <f>SUM(G444:G445)</f>
        <v>1</v>
      </c>
    </row>
    <row r="447" spans="1:7">
      <c r="A447" s="14">
        <v>18</v>
      </c>
      <c r="B447" s="157" t="s">
        <v>240</v>
      </c>
      <c r="C447" s="136"/>
      <c r="D447" s="136"/>
      <c r="E447" s="136"/>
      <c r="F447" s="136"/>
      <c r="G447" s="137"/>
    </row>
    <row r="448" spans="1:7">
      <c r="A448" s="72"/>
      <c r="B448" s="6" t="s">
        <v>11</v>
      </c>
      <c r="C448" s="7" t="s">
        <v>12</v>
      </c>
      <c r="D448" s="17">
        <v>1</v>
      </c>
      <c r="E448" s="17">
        <v>1</v>
      </c>
      <c r="F448" s="17">
        <v>1</v>
      </c>
      <c r="G448" s="8">
        <f>F448*E448*D448</f>
        <v>1</v>
      </c>
    </row>
    <row r="449" spans="1:7">
      <c r="A449" s="72"/>
      <c r="B449" s="4"/>
      <c r="C449" s="4"/>
      <c r="D449" s="4"/>
      <c r="E449" s="4"/>
      <c r="F449" s="4"/>
      <c r="G449" s="4"/>
    </row>
    <row r="450" spans="1:7" ht="15.75">
      <c r="A450" s="72"/>
      <c r="B450" s="155" t="s">
        <v>14</v>
      </c>
      <c r="C450" s="136"/>
      <c r="D450" s="136"/>
      <c r="E450" s="136"/>
      <c r="F450" s="137"/>
      <c r="G450" s="10">
        <f>SUM(G448:G449)</f>
        <v>1</v>
      </c>
    </row>
    <row r="451" spans="1:7">
      <c r="A451" s="14">
        <v>19</v>
      </c>
      <c r="B451" s="157" t="s">
        <v>195</v>
      </c>
      <c r="C451" s="136"/>
      <c r="D451" s="136"/>
      <c r="E451" s="136"/>
      <c r="F451" s="136"/>
      <c r="G451" s="137"/>
    </row>
    <row r="452" spans="1:7">
      <c r="A452" s="72"/>
      <c r="B452" s="6" t="s">
        <v>67</v>
      </c>
      <c r="C452" s="7" t="s">
        <v>12</v>
      </c>
      <c r="D452" s="17">
        <v>1</v>
      </c>
      <c r="E452" s="17">
        <v>1</v>
      </c>
      <c r="F452" s="17">
        <v>1</v>
      </c>
      <c r="G452" s="8">
        <f>F452*E452*D452</f>
        <v>1</v>
      </c>
    </row>
    <row r="453" spans="1:7">
      <c r="A453" s="72"/>
      <c r="B453" s="4"/>
      <c r="C453" s="4"/>
      <c r="D453" s="4"/>
      <c r="E453" s="4"/>
      <c r="F453" s="4"/>
      <c r="G453" s="4"/>
    </row>
    <row r="454" spans="1:7" ht="15.75">
      <c r="A454" s="72"/>
      <c r="B454" s="155" t="s">
        <v>14</v>
      </c>
      <c r="C454" s="136"/>
      <c r="D454" s="136"/>
      <c r="E454" s="136"/>
      <c r="F454" s="137"/>
      <c r="G454" s="10">
        <f>SUM(G452:G453)</f>
        <v>1</v>
      </c>
    </row>
    <row r="455" spans="1:7">
      <c r="A455" s="14">
        <v>20</v>
      </c>
      <c r="B455" s="157" t="s">
        <v>150</v>
      </c>
      <c r="C455" s="136"/>
      <c r="D455" s="136"/>
      <c r="E455" s="136"/>
      <c r="F455" s="136"/>
      <c r="G455" s="137"/>
    </row>
    <row r="456" spans="1:7">
      <c r="A456" s="72"/>
      <c r="B456" s="6" t="s">
        <v>11</v>
      </c>
      <c r="C456" s="7" t="s">
        <v>12</v>
      </c>
      <c r="D456" s="17">
        <v>1</v>
      </c>
      <c r="E456" s="17">
        <v>1</v>
      </c>
      <c r="F456" s="17">
        <v>1</v>
      </c>
      <c r="G456" s="8">
        <f>F456*E456*D456</f>
        <v>1</v>
      </c>
    </row>
    <row r="457" spans="1:7">
      <c r="A457" s="72"/>
      <c r="B457" s="4"/>
      <c r="C457" s="4"/>
      <c r="D457" s="4"/>
      <c r="E457" s="4"/>
      <c r="F457" s="4"/>
      <c r="G457" s="4"/>
    </row>
    <row r="458" spans="1:7" ht="15.75">
      <c r="A458" s="72"/>
      <c r="B458" s="155" t="s">
        <v>14</v>
      </c>
      <c r="C458" s="136"/>
      <c r="D458" s="136"/>
      <c r="E458" s="136"/>
      <c r="F458" s="137"/>
      <c r="G458" s="10">
        <f>SUM(G456:G457)</f>
        <v>1</v>
      </c>
    </row>
    <row r="459" spans="1:7">
      <c r="A459" s="14">
        <v>21</v>
      </c>
      <c r="B459" s="157" t="s">
        <v>151</v>
      </c>
      <c r="C459" s="136"/>
      <c r="D459" s="136"/>
      <c r="E459" s="136"/>
      <c r="F459" s="136"/>
      <c r="G459" s="137"/>
    </row>
    <row r="460" spans="1:7">
      <c r="A460" s="72"/>
      <c r="B460" s="6" t="s">
        <v>11</v>
      </c>
      <c r="C460" s="7" t="s">
        <v>12</v>
      </c>
      <c r="D460" s="17">
        <v>1</v>
      </c>
      <c r="E460" s="17">
        <v>1</v>
      </c>
      <c r="F460" s="17">
        <v>1</v>
      </c>
      <c r="G460" s="8">
        <f>F460*E460*D460</f>
        <v>1</v>
      </c>
    </row>
    <row r="461" spans="1:7">
      <c r="A461" s="72"/>
      <c r="B461" s="4"/>
      <c r="C461" s="4"/>
      <c r="D461" s="4"/>
      <c r="E461" s="4"/>
      <c r="F461" s="4"/>
      <c r="G461" s="4"/>
    </row>
    <row r="462" spans="1:7" ht="15.75">
      <c r="A462" s="72"/>
      <c r="B462" s="155" t="s">
        <v>14</v>
      </c>
      <c r="C462" s="136"/>
      <c r="D462" s="136"/>
      <c r="E462" s="136"/>
      <c r="F462" s="137"/>
      <c r="G462" s="10">
        <f>SUM(G460:G461)</f>
        <v>1</v>
      </c>
    </row>
    <row r="463" spans="1:7">
      <c r="A463" s="14">
        <v>22</v>
      </c>
      <c r="B463" s="157" t="s">
        <v>100</v>
      </c>
      <c r="C463" s="136"/>
      <c r="D463" s="136"/>
      <c r="E463" s="136"/>
      <c r="F463" s="136"/>
      <c r="G463" s="137"/>
    </row>
    <row r="464" spans="1:7">
      <c r="A464" s="72"/>
      <c r="B464" s="6" t="s">
        <v>11</v>
      </c>
      <c r="C464" s="7" t="s">
        <v>12</v>
      </c>
      <c r="D464" s="17">
        <v>1</v>
      </c>
      <c r="E464" s="17">
        <v>18500</v>
      </c>
      <c r="F464" s="17">
        <v>1</v>
      </c>
      <c r="G464" s="8">
        <f>F464*E464*D464</f>
        <v>18500</v>
      </c>
    </row>
    <row r="465" spans="1:7">
      <c r="A465" s="72"/>
      <c r="B465" s="4"/>
      <c r="C465" s="4"/>
      <c r="D465" s="4"/>
      <c r="E465" s="4"/>
      <c r="F465" s="4"/>
      <c r="G465" s="4"/>
    </row>
    <row r="466" spans="1:7" ht="15.75">
      <c r="A466" s="72"/>
      <c r="B466" s="155" t="s">
        <v>14</v>
      </c>
      <c r="C466" s="136"/>
      <c r="D466" s="136"/>
      <c r="E466" s="136"/>
      <c r="F466" s="137"/>
      <c r="G466" s="10">
        <f>SUM(G464:G465)</f>
        <v>18500</v>
      </c>
    </row>
  </sheetData>
  <mergeCells count="138">
    <mergeCell ref="B112:G112"/>
    <mergeCell ref="B115:F115"/>
    <mergeCell ref="B116:G116"/>
    <mergeCell ref="B119:F119"/>
    <mergeCell ref="B120:G120"/>
    <mergeCell ref="B123:F123"/>
    <mergeCell ref="B125:G125"/>
    <mergeCell ref="B126:G126"/>
    <mergeCell ref="B369:F369"/>
    <mergeCell ref="B93:G93"/>
    <mergeCell ref="B96:F96"/>
    <mergeCell ref="B99:G99"/>
    <mergeCell ref="B102:F102"/>
    <mergeCell ref="B103:G103"/>
    <mergeCell ref="B104:G104"/>
    <mergeCell ref="B107:F107"/>
    <mergeCell ref="B108:G108"/>
    <mergeCell ref="B111:F111"/>
    <mergeCell ref="B70:F70"/>
    <mergeCell ref="B71:G71"/>
    <mergeCell ref="B74:F74"/>
    <mergeCell ref="B75:G75"/>
    <mergeCell ref="B79:G79"/>
    <mergeCell ref="B78:F78"/>
    <mergeCell ref="B88:F88"/>
    <mergeCell ref="B90:G90"/>
    <mergeCell ref="B92:G92"/>
    <mergeCell ref="B466:F466"/>
    <mergeCell ref="B443:G443"/>
    <mergeCell ref="B446:F446"/>
    <mergeCell ref="B447:G447"/>
    <mergeCell ref="B450:F450"/>
    <mergeCell ref="B451:G451"/>
    <mergeCell ref="B454:F454"/>
    <mergeCell ref="B455:G455"/>
    <mergeCell ref="B3:G3"/>
    <mergeCell ref="B4:G4"/>
    <mergeCell ref="B20:F20"/>
    <mergeCell ref="B21:G21"/>
    <mergeCell ref="B24:F24"/>
    <mergeCell ref="B25:G25"/>
    <mergeCell ref="B31:F31"/>
    <mergeCell ref="B32:G32"/>
    <mergeCell ref="B37:F37"/>
    <mergeCell ref="B38:G38"/>
    <mergeCell ref="B54:F54"/>
    <mergeCell ref="B55:G55"/>
    <mergeCell ref="B58:F58"/>
    <mergeCell ref="B59:G59"/>
    <mergeCell ref="B66:F66"/>
    <mergeCell ref="B67:G67"/>
    <mergeCell ref="B434:F434"/>
    <mergeCell ref="B435:G435"/>
    <mergeCell ref="B438:F438"/>
    <mergeCell ref="B439:G439"/>
    <mergeCell ref="B442:F442"/>
    <mergeCell ref="B458:F458"/>
    <mergeCell ref="B459:G459"/>
    <mergeCell ref="B462:F462"/>
    <mergeCell ref="B463:G463"/>
    <mergeCell ref="B413:G413"/>
    <mergeCell ref="B416:F416"/>
    <mergeCell ref="B417:G417"/>
    <mergeCell ref="B422:F422"/>
    <mergeCell ref="B423:G423"/>
    <mergeCell ref="B426:F426"/>
    <mergeCell ref="B427:G427"/>
    <mergeCell ref="B430:F430"/>
    <mergeCell ref="B431:G431"/>
    <mergeCell ref="B365:F365"/>
    <mergeCell ref="B366:G366"/>
    <mergeCell ref="B394:F394"/>
    <mergeCell ref="B395:G395"/>
    <mergeCell ref="B400:F400"/>
    <mergeCell ref="B401:G401"/>
    <mergeCell ref="B405:F405"/>
    <mergeCell ref="B408:G408"/>
    <mergeCell ref="B412:F412"/>
    <mergeCell ref="B371:G371"/>
    <mergeCell ref="B372:G372"/>
    <mergeCell ref="B384:F384"/>
    <mergeCell ref="B385:G385"/>
    <mergeCell ref="B389:F389"/>
    <mergeCell ref="B391:G391"/>
    <mergeCell ref="B342:G342"/>
    <mergeCell ref="B345:F345"/>
    <mergeCell ref="B346:G346"/>
    <mergeCell ref="B350:F350"/>
    <mergeCell ref="B351:G351"/>
    <mergeCell ref="B356:F356"/>
    <mergeCell ref="B357:G357"/>
    <mergeCell ref="B360:F360"/>
    <mergeCell ref="B361:G361"/>
    <mergeCell ref="B323:G323"/>
    <mergeCell ref="B324:G324"/>
    <mergeCell ref="B327:F327"/>
    <mergeCell ref="B328:G328"/>
    <mergeCell ref="B332:F332"/>
    <mergeCell ref="B333:G333"/>
    <mergeCell ref="B336:F336"/>
    <mergeCell ref="B337:G337"/>
    <mergeCell ref="B341:F341"/>
    <mergeCell ref="B271:F271"/>
    <mergeCell ref="B273:G273"/>
    <mergeCell ref="B274:G274"/>
    <mergeCell ref="B293:F293"/>
    <mergeCell ref="B294:F294"/>
    <mergeCell ref="B295:G295"/>
    <mergeCell ref="B318:F318"/>
    <mergeCell ref="B319:F319"/>
    <mergeCell ref="B321:F321"/>
    <mergeCell ref="B213:G213"/>
    <mergeCell ref="B220:F220"/>
    <mergeCell ref="B222:G222"/>
    <mergeCell ref="B223:G223"/>
    <mergeCell ref="B227:F227"/>
    <mergeCell ref="B229:G229"/>
    <mergeCell ref="B230:G230"/>
    <mergeCell ref="B246:F246"/>
    <mergeCell ref="B247:G247"/>
    <mergeCell ref="B169:G169"/>
    <mergeCell ref="B170:G170"/>
    <mergeCell ref="B171:G171"/>
    <mergeCell ref="B189:F189"/>
    <mergeCell ref="B190:F190"/>
    <mergeCell ref="B192:G192"/>
    <mergeCell ref="B193:G193"/>
    <mergeCell ref="B211:F211"/>
    <mergeCell ref="B212:F212"/>
    <mergeCell ref="B137:F137"/>
    <mergeCell ref="B138:G138"/>
    <mergeCell ref="B149:F149"/>
    <mergeCell ref="B150:G150"/>
    <mergeCell ref="B159:F159"/>
    <mergeCell ref="B160:G160"/>
    <mergeCell ref="B163:F163"/>
    <mergeCell ref="B164:G164"/>
    <mergeCell ref="B167:F167"/>
  </mergeCell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Quote-R0</vt:lpstr>
      <vt:lpstr>Details-R0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nageswari</cp:lastModifiedBy>
  <dcterms:created xsi:type="dcterms:W3CDTF">2015-06-05T18:17:20Z</dcterms:created>
  <dcterms:modified xsi:type="dcterms:W3CDTF">2026-08-24T12:18:07Z</dcterms:modified>
</cp:coreProperties>
</file>